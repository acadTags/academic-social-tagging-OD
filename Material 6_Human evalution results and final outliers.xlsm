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eme\Documents\writing\conf_data_preparation_cluster_based_outlier_detection[springer] - Copy_after_10_Oct_2016\supplementary files\"/>
    </mc:Choice>
  </mc:AlternateContent>
  <bookViews>
    <workbookView xWindow="0" yWindow="0" windowWidth="23520" windowHeight="10995"/>
  </bookViews>
  <sheets>
    <sheet name="outliers per techniques &amp; human" sheetId="1" r:id="rId1"/>
    <sheet name="union of 15 methods with final1" sheetId="9" r:id="rId2"/>
    <sheet name="union of 15 methods with final2" sheetId="8" r:id="rId3"/>
    <sheet name="precision and recall from f1&amp;f2" sheetId="10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8" l="1"/>
  <c r="C3" i="8"/>
  <c r="D3" i="8"/>
  <c r="E3" i="8"/>
  <c r="F3" i="8"/>
  <c r="G3" i="8"/>
  <c r="H3" i="8"/>
  <c r="I3" i="8"/>
  <c r="J3" i="8"/>
  <c r="K3" i="8"/>
  <c r="L3" i="8"/>
  <c r="M3" i="8"/>
  <c r="N3" i="8"/>
  <c r="O3" i="8"/>
  <c r="P3" i="8"/>
  <c r="B4" i="8"/>
  <c r="C4" i="8"/>
  <c r="D4" i="8"/>
  <c r="E4" i="8"/>
  <c r="F4" i="8"/>
  <c r="G4" i="8"/>
  <c r="H4" i="8"/>
  <c r="I4" i="8"/>
  <c r="J4" i="8"/>
  <c r="K4" i="8"/>
  <c r="L4" i="8"/>
  <c r="M4" i="8"/>
  <c r="N4" i="8"/>
  <c r="O4" i="8"/>
  <c r="P4" i="8"/>
  <c r="B5" i="8"/>
  <c r="C5" i="8"/>
  <c r="D5" i="8"/>
  <c r="E5" i="8"/>
  <c r="F5" i="8"/>
  <c r="G5" i="8"/>
  <c r="H5" i="8"/>
  <c r="I5" i="8"/>
  <c r="J5" i="8"/>
  <c r="K5" i="8"/>
  <c r="L5" i="8"/>
  <c r="M5" i="8"/>
  <c r="N5" i="8"/>
  <c r="O5" i="8"/>
  <c r="P5" i="8"/>
  <c r="B6" i="8"/>
  <c r="C6" i="8"/>
  <c r="D6" i="8"/>
  <c r="E6" i="8"/>
  <c r="F6" i="8"/>
  <c r="G6" i="8"/>
  <c r="H6" i="8"/>
  <c r="I6" i="8"/>
  <c r="J6" i="8"/>
  <c r="K6" i="8"/>
  <c r="L6" i="8"/>
  <c r="M6" i="8"/>
  <c r="N6" i="8"/>
  <c r="O6" i="8"/>
  <c r="P6" i="8"/>
  <c r="B7" i="8"/>
  <c r="C7" i="8"/>
  <c r="D7" i="8"/>
  <c r="E7" i="8"/>
  <c r="F7" i="8"/>
  <c r="G7" i="8"/>
  <c r="H7" i="8"/>
  <c r="I7" i="8"/>
  <c r="J7" i="8"/>
  <c r="K7" i="8"/>
  <c r="L7" i="8"/>
  <c r="M7" i="8"/>
  <c r="N7" i="8"/>
  <c r="O7" i="8"/>
  <c r="P7" i="8"/>
  <c r="B8" i="8"/>
  <c r="C8" i="8"/>
  <c r="D8" i="8"/>
  <c r="E8" i="8"/>
  <c r="F8" i="8"/>
  <c r="G8" i="8"/>
  <c r="H8" i="8"/>
  <c r="I8" i="8"/>
  <c r="J8" i="8"/>
  <c r="K8" i="8"/>
  <c r="L8" i="8"/>
  <c r="M8" i="8"/>
  <c r="N8" i="8"/>
  <c r="O8" i="8"/>
  <c r="P8" i="8"/>
  <c r="B9" i="8"/>
  <c r="C9" i="8"/>
  <c r="D9" i="8"/>
  <c r="E9" i="8"/>
  <c r="F9" i="8"/>
  <c r="G9" i="8"/>
  <c r="H9" i="8"/>
  <c r="I9" i="8"/>
  <c r="J9" i="8"/>
  <c r="K9" i="8"/>
  <c r="L9" i="8"/>
  <c r="M9" i="8"/>
  <c r="N9" i="8"/>
  <c r="O9" i="8"/>
  <c r="P9" i="8"/>
  <c r="B10" i="8"/>
  <c r="C10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B11" i="8"/>
  <c r="C11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B12" i="8"/>
  <c r="C12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B13" i="8"/>
  <c r="C13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B14" i="8"/>
  <c r="C14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B33" i="8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B34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B35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B36" i="8"/>
  <c r="C36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B37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B38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B39" i="8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B40" i="8"/>
  <c r="C40" i="8"/>
  <c r="D40" i="8"/>
  <c r="E40" i="8"/>
  <c r="F40" i="8"/>
  <c r="G40" i="8"/>
  <c r="H40" i="8"/>
  <c r="I40" i="8"/>
  <c r="J40" i="8"/>
  <c r="K40" i="8"/>
  <c r="L40" i="8"/>
  <c r="M40" i="8"/>
  <c r="N40" i="8"/>
  <c r="O40" i="8"/>
  <c r="P40" i="8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B42" i="8"/>
  <c r="C42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B43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B44" i="8"/>
  <c r="C44" i="8"/>
  <c r="D44" i="8"/>
  <c r="E44" i="8"/>
  <c r="F44" i="8"/>
  <c r="G44" i="8"/>
  <c r="H44" i="8"/>
  <c r="I44" i="8"/>
  <c r="J44" i="8"/>
  <c r="K44" i="8"/>
  <c r="L44" i="8"/>
  <c r="M44" i="8"/>
  <c r="N44" i="8"/>
  <c r="O44" i="8"/>
  <c r="P44" i="8"/>
  <c r="B45" i="8"/>
  <c r="C45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B46" i="8"/>
  <c r="C46" i="8"/>
  <c r="D46" i="8"/>
  <c r="E46" i="8"/>
  <c r="F46" i="8"/>
  <c r="G46" i="8"/>
  <c r="H46" i="8"/>
  <c r="I46" i="8"/>
  <c r="J46" i="8"/>
  <c r="K46" i="8"/>
  <c r="L46" i="8"/>
  <c r="M46" i="8"/>
  <c r="N46" i="8"/>
  <c r="O46" i="8"/>
  <c r="P46" i="8"/>
  <c r="B47" i="8"/>
  <c r="C47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B48" i="8"/>
  <c r="C48" i="8"/>
  <c r="D48" i="8"/>
  <c r="E48" i="8"/>
  <c r="F48" i="8"/>
  <c r="G48" i="8"/>
  <c r="H48" i="8"/>
  <c r="I48" i="8"/>
  <c r="J48" i="8"/>
  <c r="K48" i="8"/>
  <c r="L48" i="8"/>
  <c r="M48" i="8"/>
  <c r="N48" i="8"/>
  <c r="O48" i="8"/>
  <c r="P48" i="8"/>
  <c r="B49" i="8"/>
  <c r="C49" i="8"/>
  <c r="D49" i="8"/>
  <c r="E49" i="8"/>
  <c r="F49" i="8"/>
  <c r="G49" i="8"/>
  <c r="H49" i="8"/>
  <c r="I49" i="8"/>
  <c r="J49" i="8"/>
  <c r="K49" i="8"/>
  <c r="L49" i="8"/>
  <c r="M49" i="8"/>
  <c r="N49" i="8"/>
  <c r="O49" i="8"/>
  <c r="P49" i="8"/>
  <c r="B50" i="8"/>
  <c r="C50" i="8"/>
  <c r="D50" i="8"/>
  <c r="E50" i="8"/>
  <c r="F50" i="8"/>
  <c r="G50" i="8"/>
  <c r="H50" i="8"/>
  <c r="I50" i="8"/>
  <c r="J50" i="8"/>
  <c r="K50" i="8"/>
  <c r="L50" i="8"/>
  <c r="M50" i="8"/>
  <c r="N50" i="8"/>
  <c r="O50" i="8"/>
  <c r="P50" i="8"/>
  <c r="B51" i="8"/>
  <c r="C51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B52" i="8"/>
  <c r="C52" i="8"/>
  <c r="D52" i="8"/>
  <c r="E52" i="8"/>
  <c r="F52" i="8"/>
  <c r="G52" i="8"/>
  <c r="H52" i="8"/>
  <c r="I52" i="8"/>
  <c r="J52" i="8"/>
  <c r="K52" i="8"/>
  <c r="L52" i="8"/>
  <c r="M52" i="8"/>
  <c r="N52" i="8"/>
  <c r="O52" i="8"/>
  <c r="P52" i="8"/>
  <c r="B53" i="8"/>
  <c r="C53" i="8"/>
  <c r="D53" i="8"/>
  <c r="E53" i="8"/>
  <c r="F53" i="8"/>
  <c r="G53" i="8"/>
  <c r="H53" i="8"/>
  <c r="I53" i="8"/>
  <c r="J53" i="8"/>
  <c r="K53" i="8"/>
  <c r="L53" i="8"/>
  <c r="M53" i="8"/>
  <c r="N53" i="8"/>
  <c r="O53" i="8"/>
  <c r="P53" i="8"/>
  <c r="B54" i="8"/>
  <c r="C54" i="8"/>
  <c r="D54" i="8"/>
  <c r="E54" i="8"/>
  <c r="F54" i="8"/>
  <c r="G54" i="8"/>
  <c r="H54" i="8"/>
  <c r="I54" i="8"/>
  <c r="J54" i="8"/>
  <c r="K54" i="8"/>
  <c r="L54" i="8"/>
  <c r="M54" i="8"/>
  <c r="N54" i="8"/>
  <c r="O54" i="8"/>
  <c r="P54" i="8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B56" i="8"/>
  <c r="C56" i="8"/>
  <c r="D56" i="8"/>
  <c r="E56" i="8"/>
  <c r="F56" i="8"/>
  <c r="G56" i="8"/>
  <c r="H56" i="8"/>
  <c r="I56" i="8"/>
  <c r="J56" i="8"/>
  <c r="K56" i="8"/>
  <c r="L56" i="8"/>
  <c r="M56" i="8"/>
  <c r="N56" i="8"/>
  <c r="O56" i="8"/>
  <c r="P56" i="8"/>
  <c r="B57" i="8"/>
  <c r="C57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B58" i="8"/>
  <c r="C58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B59" i="8"/>
  <c r="C59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B60" i="8"/>
  <c r="C60" i="8"/>
  <c r="D60" i="8"/>
  <c r="E60" i="8"/>
  <c r="F60" i="8"/>
  <c r="G60" i="8"/>
  <c r="H60" i="8"/>
  <c r="I60" i="8"/>
  <c r="J60" i="8"/>
  <c r="K60" i="8"/>
  <c r="L60" i="8"/>
  <c r="M60" i="8"/>
  <c r="N60" i="8"/>
  <c r="O60" i="8"/>
  <c r="P60" i="8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B62" i="8"/>
  <c r="C62" i="8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B63" i="8"/>
  <c r="C63" i="8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B65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B66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B67" i="8"/>
  <c r="C67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B68" i="8"/>
  <c r="C68" i="8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B69" i="8"/>
  <c r="C69" i="8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B70" i="8"/>
  <c r="C70" i="8"/>
  <c r="D70" i="8"/>
  <c r="E70" i="8"/>
  <c r="F70" i="8"/>
  <c r="G70" i="8"/>
  <c r="H70" i="8"/>
  <c r="I70" i="8"/>
  <c r="J70" i="8"/>
  <c r="K70" i="8"/>
  <c r="L70" i="8"/>
  <c r="M70" i="8"/>
  <c r="N70" i="8"/>
  <c r="O70" i="8"/>
  <c r="P70" i="8"/>
  <c r="B71" i="8"/>
  <c r="C71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B72" i="8"/>
  <c r="C72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B73" i="8"/>
  <c r="C73" i="8"/>
  <c r="D73" i="8"/>
  <c r="E73" i="8"/>
  <c r="F73" i="8"/>
  <c r="G73" i="8"/>
  <c r="H73" i="8"/>
  <c r="I73" i="8"/>
  <c r="J73" i="8"/>
  <c r="K73" i="8"/>
  <c r="L73" i="8"/>
  <c r="M73" i="8"/>
  <c r="N73" i="8"/>
  <c r="O73" i="8"/>
  <c r="P73" i="8"/>
  <c r="B74" i="8"/>
  <c r="C74" i="8"/>
  <c r="D74" i="8"/>
  <c r="E74" i="8"/>
  <c r="F74" i="8"/>
  <c r="G74" i="8"/>
  <c r="H74" i="8"/>
  <c r="I74" i="8"/>
  <c r="J74" i="8"/>
  <c r="K74" i="8"/>
  <c r="L74" i="8"/>
  <c r="M74" i="8"/>
  <c r="N74" i="8"/>
  <c r="O74" i="8"/>
  <c r="P74" i="8"/>
  <c r="B75" i="8"/>
  <c r="C75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B76" i="8"/>
  <c r="C76" i="8"/>
  <c r="D76" i="8"/>
  <c r="E76" i="8"/>
  <c r="F76" i="8"/>
  <c r="G76" i="8"/>
  <c r="H76" i="8"/>
  <c r="I76" i="8"/>
  <c r="J76" i="8"/>
  <c r="K76" i="8"/>
  <c r="L76" i="8"/>
  <c r="M76" i="8"/>
  <c r="N76" i="8"/>
  <c r="O76" i="8"/>
  <c r="P76" i="8"/>
  <c r="B77" i="8"/>
  <c r="C77" i="8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B78" i="8"/>
  <c r="C78" i="8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B79" i="8"/>
  <c r="C79" i="8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B80" i="8"/>
  <c r="C80" i="8"/>
  <c r="D80" i="8"/>
  <c r="E80" i="8"/>
  <c r="F80" i="8"/>
  <c r="G80" i="8"/>
  <c r="H80" i="8"/>
  <c r="I80" i="8"/>
  <c r="J80" i="8"/>
  <c r="K80" i="8"/>
  <c r="L80" i="8"/>
  <c r="M80" i="8"/>
  <c r="N80" i="8"/>
  <c r="O80" i="8"/>
  <c r="P80" i="8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B82" i="8"/>
  <c r="C82" i="8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B83" i="8"/>
  <c r="C83" i="8"/>
  <c r="D83" i="8"/>
  <c r="E83" i="8"/>
  <c r="F83" i="8"/>
  <c r="G83" i="8"/>
  <c r="H83" i="8"/>
  <c r="I83" i="8"/>
  <c r="J83" i="8"/>
  <c r="K83" i="8"/>
  <c r="L83" i="8"/>
  <c r="M83" i="8"/>
  <c r="N83" i="8"/>
  <c r="O83" i="8"/>
  <c r="P83" i="8"/>
  <c r="B84" i="8"/>
  <c r="C84" i="8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B85" i="8"/>
  <c r="C85" i="8"/>
  <c r="D85" i="8"/>
  <c r="E85" i="8"/>
  <c r="F85" i="8"/>
  <c r="G85" i="8"/>
  <c r="H85" i="8"/>
  <c r="I85" i="8"/>
  <c r="J85" i="8"/>
  <c r="K85" i="8"/>
  <c r="L85" i="8"/>
  <c r="M85" i="8"/>
  <c r="N85" i="8"/>
  <c r="O85" i="8"/>
  <c r="P85" i="8"/>
  <c r="B86" i="8"/>
  <c r="C86" i="8"/>
  <c r="D86" i="8"/>
  <c r="E86" i="8"/>
  <c r="F86" i="8"/>
  <c r="G86" i="8"/>
  <c r="H86" i="8"/>
  <c r="I86" i="8"/>
  <c r="J86" i="8"/>
  <c r="K86" i="8"/>
  <c r="L86" i="8"/>
  <c r="M86" i="8"/>
  <c r="N86" i="8"/>
  <c r="O86" i="8"/>
  <c r="P86" i="8"/>
  <c r="B87" i="8"/>
  <c r="C87" i="8"/>
  <c r="D87" i="8"/>
  <c r="E87" i="8"/>
  <c r="F87" i="8"/>
  <c r="G87" i="8"/>
  <c r="H87" i="8"/>
  <c r="I87" i="8"/>
  <c r="J87" i="8"/>
  <c r="K87" i="8"/>
  <c r="L87" i="8"/>
  <c r="M87" i="8"/>
  <c r="N87" i="8"/>
  <c r="O87" i="8"/>
  <c r="P87" i="8"/>
  <c r="B88" i="8"/>
  <c r="C88" i="8"/>
  <c r="D88" i="8"/>
  <c r="E88" i="8"/>
  <c r="F88" i="8"/>
  <c r="G88" i="8"/>
  <c r="H88" i="8"/>
  <c r="I88" i="8"/>
  <c r="J88" i="8"/>
  <c r="K88" i="8"/>
  <c r="L88" i="8"/>
  <c r="M88" i="8"/>
  <c r="N88" i="8"/>
  <c r="O88" i="8"/>
  <c r="P88" i="8"/>
  <c r="B89" i="8"/>
  <c r="C89" i="8"/>
  <c r="D89" i="8"/>
  <c r="E89" i="8"/>
  <c r="F89" i="8"/>
  <c r="G89" i="8"/>
  <c r="H89" i="8"/>
  <c r="I89" i="8"/>
  <c r="J89" i="8"/>
  <c r="K89" i="8"/>
  <c r="L89" i="8"/>
  <c r="M89" i="8"/>
  <c r="N89" i="8"/>
  <c r="O89" i="8"/>
  <c r="P89" i="8"/>
  <c r="B90" i="8"/>
  <c r="C90" i="8"/>
  <c r="D90" i="8"/>
  <c r="E90" i="8"/>
  <c r="F90" i="8"/>
  <c r="G90" i="8"/>
  <c r="H90" i="8"/>
  <c r="I90" i="8"/>
  <c r="J90" i="8"/>
  <c r="K90" i="8"/>
  <c r="L90" i="8"/>
  <c r="M90" i="8"/>
  <c r="N90" i="8"/>
  <c r="O90" i="8"/>
  <c r="P90" i="8"/>
  <c r="B91" i="8"/>
  <c r="C91" i="8"/>
  <c r="D91" i="8"/>
  <c r="E91" i="8"/>
  <c r="F91" i="8"/>
  <c r="G91" i="8"/>
  <c r="H91" i="8"/>
  <c r="I91" i="8"/>
  <c r="J91" i="8"/>
  <c r="K91" i="8"/>
  <c r="L91" i="8"/>
  <c r="M91" i="8"/>
  <c r="N91" i="8"/>
  <c r="O91" i="8"/>
  <c r="P91" i="8"/>
  <c r="B92" i="8"/>
  <c r="C92" i="8"/>
  <c r="D92" i="8"/>
  <c r="E92" i="8"/>
  <c r="F92" i="8"/>
  <c r="G92" i="8"/>
  <c r="H92" i="8"/>
  <c r="I92" i="8"/>
  <c r="J92" i="8"/>
  <c r="K92" i="8"/>
  <c r="L92" i="8"/>
  <c r="M92" i="8"/>
  <c r="N92" i="8"/>
  <c r="O92" i="8"/>
  <c r="P9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B2" i="8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B26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B30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B32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B33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B35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B36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B37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B38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B39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B40" i="9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B41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B42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B43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B44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B45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B46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B47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B48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B49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B50" i="9"/>
  <c r="C50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B51" i="9"/>
  <c r="C51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B52" i="9"/>
  <c r="C52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B53" i="9"/>
  <c r="C53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B54" i="9"/>
  <c r="C54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B56" i="9"/>
  <c r="C56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B57" i="9"/>
  <c r="C57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B58" i="9"/>
  <c r="C58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B59" i="9"/>
  <c r="C59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B60" i="9"/>
  <c r="C60" i="9"/>
  <c r="D60" i="9"/>
  <c r="E60" i="9"/>
  <c r="F60" i="9"/>
  <c r="G60" i="9"/>
  <c r="H60" i="9"/>
  <c r="I60" i="9"/>
  <c r="J60" i="9"/>
  <c r="K60" i="9"/>
  <c r="L60" i="9"/>
  <c r="M60" i="9"/>
  <c r="N60" i="9"/>
  <c r="O60" i="9"/>
  <c r="P60" i="9"/>
  <c r="B61" i="9"/>
  <c r="C61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B62" i="9"/>
  <c r="C62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B63" i="9"/>
  <c r="C63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B64" i="9"/>
  <c r="C64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B65" i="9"/>
  <c r="C65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B66" i="9"/>
  <c r="C66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B67" i="9"/>
  <c r="C67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B68" i="9"/>
  <c r="C68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B69" i="9"/>
  <c r="C69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B70" i="9"/>
  <c r="C70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B71" i="9"/>
  <c r="C71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B72" i="9"/>
  <c r="C72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B73" i="9"/>
  <c r="C73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B74" i="9"/>
  <c r="C74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B75" i="9"/>
  <c r="C75" i="9"/>
  <c r="D75" i="9"/>
  <c r="E75" i="9"/>
  <c r="F75" i="9"/>
  <c r="G75" i="9"/>
  <c r="H75" i="9"/>
  <c r="I75" i="9"/>
  <c r="J75" i="9"/>
  <c r="K75" i="9"/>
  <c r="L75" i="9"/>
  <c r="M75" i="9"/>
  <c r="N75" i="9"/>
  <c r="O75" i="9"/>
  <c r="P75" i="9"/>
  <c r="B76" i="9"/>
  <c r="C76" i="9"/>
  <c r="D76" i="9"/>
  <c r="E76" i="9"/>
  <c r="F76" i="9"/>
  <c r="G76" i="9"/>
  <c r="H76" i="9"/>
  <c r="I76" i="9"/>
  <c r="J76" i="9"/>
  <c r="K76" i="9"/>
  <c r="L76" i="9"/>
  <c r="M76" i="9"/>
  <c r="N76" i="9"/>
  <c r="O76" i="9"/>
  <c r="P76" i="9"/>
  <c r="B77" i="9"/>
  <c r="C77" i="9"/>
  <c r="D77" i="9"/>
  <c r="E77" i="9"/>
  <c r="F77" i="9"/>
  <c r="G77" i="9"/>
  <c r="H77" i="9"/>
  <c r="I77" i="9"/>
  <c r="J77" i="9"/>
  <c r="K77" i="9"/>
  <c r="L77" i="9"/>
  <c r="M77" i="9"/>
  <c r="N77" i="9"/>
  <c r="O77" i="9"/>
  <c r="P77" i="9"/>
  <c r="B78" i="9"/>
  <c r="C78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B79" i="9"/>
  <c r="C79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B80" i="9"/>
  <c r="C80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B81" i="9"/>
  <c r="C81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B82" i="9"/>
  <c r="C82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B83" i="9"/>
  <c r="C83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B84" i="9"/>
  <c r="C84" i="9"/>
  <c r="D84" i="9"/>
  <c r="E84" i="9"/>
  <c r="F84" i="9"/>
  <c r="G84" i="9"/>
  <c r="H84" i="9"/>
  <c r="I84" i="9"/>
  <c r="J84" i="9"/>
  <c r="K84" i="9"/>
  <c r="L84" i="9"/>
  <c r="M84" i="9"/>
  <c r="N84" i="9"/>
  <c r="O84" i="9"/>
  <c r="P84" i="9"/>
  <c r="B85" i="9"/>
  <c r="C85" i="9"/>
  <c r="D85" i="9"/>
  <c r="E85" i="9"/>
  <c r="F85" i="9"/>
  <c r="G85" i="9"/>
  <c r="H85" i="9"/>
  <c r="I85" i="9"/>
  <c r="J85" i="9"/>
  <c r="K85" i="9"/>
  <c r="L85" i="9"/>
  <c r="M85" i="9"/>
  <c r="N85" i="9"/>
  <c r="O85" i="9"/>
  <c r="P85" i="9"/>
  <c r="B86" i="9"/>
  <c r="C86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B87" i="9"/>
  <c r="C87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B88" i="9"/>
  <c r="C88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B89" i="9"/>
  <c r="C89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B90" i="9"/>
  <c r="C90" i="9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B91" i="9"/>
  <c r="C91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B92" i="9"/>
  <c r="C92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B93" i="9"/>
  <c r="C93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B94" i="9"/>
  <c r="C94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B95" i="9"/>
  <c r="C95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B96" i="9"/>
  <c r="C96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B97" i="9"/>
  <c r="C97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B98" i="9"/>
  <c r="C98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B99" i="9"/>
  <c r="C99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B100" i="9"/>
  <c r="C100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B101" i="9"/>
  <c r="C101" i="9"/>
  <c r="D101" i="9"/>
  <c r="E101" i="9"/>
  <c r="F101" i="9"/>
  <c r="G101" i="9"/>
  <c r="H101" i="9"/>
  <c r="I101" i="9"/>
  <c r="J101" i="9"/>
  <c r="K101" i="9"/>
  <c r="L101" i="9"/>
  <c r="M101" i="9"/>
  <c r="N101" i="9"/>
  <c r="O101" i="9"/>
  <c r="P101" i="9"/>
  <c r="B102" i="9"/>
  <c r="C102" i="9"/>
  <c r="D102" i="9"/>
  <c r="E102" i="9"/>
  <c r="F102" i="9"/>
  <c r="G102" i="9"/>
  <c r="H102" i="9"/>
  <c r="I102" i="9"/>
  <c r="J102" i="9"/>
  <c r="K102" i="9"/>
  <c r="L102" i="9"/>
  <c r="M102" i="9"/>
  <c r="N102" i="9"/>
  <c r="O102" i="9"/>
  <c r="P102" i="9"/>
  <c r="B103" i="9"/>
  <c r="C103" i="9"/>
  <c r="D103" i="9"/>
  <c r="E103" i="9"/>
  <c r="F103" i="9"/>
  <c r="G103" i="9"/>
  <c r="H103" i="9"/>
  <c r="I103" i="9"/>
  <c r="J103" i="9"/>
  <c r="K103" i="9"/>
  <c r="L103" i="9"/>
  <c r="M103" i="9"/>
  <c r="N103" i="9"/>
  <c r="O103" i="9"/>
  <c r="P103" i="9"/>
  <c r="B104" i="9"/>
  <c r="C104" i="9"/>
  <c r="D104" i="9"/>
  <c r="E104" i="9"/>
  <c r="F104" i="9"/>
  <c r="G104" i="9"/>
  <c r="H104" i="9"/>
  <c r="I104" i="9"/>
  <c r="J104" i="9"/>
  <c r="K104" i="9"/>
  <c r="L104" i="9"/>
  <c r="M104" i="9"/>
  <c r="N104" i="9"/>
  <c r="O104" i="9"/>
  <c r="P104" i="9"/>
  <c r="B105" i="9"/>
  <c r="C105" i="9"/>
  <c r="D105" i="9"/>
  <c r="E105" i="9"/>
  <c r="F105" i="9"/>
  <c r="G105" i="9"/>
  <c r="H105" i="9"/>
  <c r="I105" i="9"/>
  <c r="J105" i="9"/>
  <c r="K105" i="9"/>
  <c r="L105" i="9"/>
  <c r="M105" i="9"/>
  <c r="N105" i="9"/>
  <c r="O105" i="9"/>
  <c r="P105" i="9"/>
  <c r="B106" i="9"/>
  <c r="C106" i="9"/>
  <c r="D106" i="9"/>
  <c r="E106" i="9"/>
  <c r="F106" i="9"/>
  <c r="G106" i="9"/>
  <c r="H106" i="9"/>
  <c r="I106" i="9"/>
  <c r="J106" i="9"/>
  <c r="K106" i="9"/>
  <c r="L106" i="9"/>
  <c r="M106" i="9"/>
  <c r="N106" i="9"/>
  <c r="O106" i="9"/>
  <c r="P106" i="9"/>
  <c r="B107" i="9"/>
  <c r="C107" i="9"/>
  <c r="D107" i="9"/>
  <c r="E107" i="9"/>
  <c r="F107" i="9"/>
  <c r="G107" i="9"/>
  <c r="H107" i="9"/>
  <c r="I107" i="9"/>
  <c r="J107" i="9"/>
  <c r="K107" i="9"/>
  <c r="L107" i="9"/>
  <c r="M107" i="9"/>
  <c r="N107" i="9"/>
  <c r="O107" i="9"/>
  <c r="P107" i="9"/>
  <c r="B108" i="9"/>
  <c r="C108" i="9"/>
  <c r="D108" i="9"/>
  <c r="E108" i="9"/>
  <c r="F108" i="9"/>
  <c r="G108" i="9"/>
  <c r="H108" i="9"/>
  <c r="I108" i="9"/>
  <c r="J108" i="9"/>
  <c r="K108" i="9"/>
  <c r="L108" i="9"/>
  <c r="M108" i="9"/>
  <c r="N108" i="9"/>
  <c r="O108" i="9"/>
  <c r="P108" i="9"/>
  <c r="B109" i="9"/>
  <c r="C109" i="9"/>
  <c r="D109" i="9"/>
  <c r="E109" i="9"/>
  <c r="F109" i="9"/>
  <c r="G109" i="9"/>
  <c r="H109" i="9"/>
  <c r="I109" i="9"/>
  <c r="J109" i="9"/>
  <c r="K109" i="9"/>
  <c r="L109" i="9"/>
  <c r="M109" i="9"/>
  <c r="N109" i="9"/>
  <c r="O109" i="9"/>
  <c r="P109" i="9"/>
  <c r="B110" i="9"/>
  <c r="C110" i="9"/>
  <c r="D110" i="9"/>
  <c r="E110" i="9"/>
  <c r="F110" i="9"/>
  <c r="G110" i="9"/>
  <c r="H110" i="9"/>
  <c r="I110" i="9"/>
  <c r="J110" i="9"/>
  <c r="K110" i="9"/>
  <c r="L110" i="9"/>
  <c r="M110" i="9"/>
  <c r="N110" i="9"/>
  <c r="O110" i="9"/>
  <c r="P110" i="9"/>
  <c r="B111" i="9"/>
  <c r="C111" i="9"/>
  <c r="D111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B112" i="9"/>
  <c r="C112" i="9"/>
  <c r="D112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B113" i="9"/>
  <c r="C113" i="9"/>
  <c r="D113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B114" i="9"/>
  <c r="C114" i="9"/>
  <c r="D114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B115" i="9"/>
  <c r="C115" i="9"/>
  <c r="D115" i="9"/>
  <c r="E115" i="9"/>
  <c r="F115" i="9"/>
  <c r="G115" i="9"/>
  <c r="H115" i="9"/>
  <c r="I115" i="9"/>
  <c r="J115" i="9"/>
  <c r="K115" i="9"/>
  <c r="L115" i="9"/>
  <c r="M115" i="9"/>
  <c r="N115" i="9"/>
  <c r="O115" i="9"/>
  <c r="P115" i="9"/>
  <c r="B116" i="9"/>
  <c r="C116" i="9"/>
  <c r="D116" i="9"/>
  <c r="E116" i="9"/>
  <c r="F116" i="9"/>
  <c r="G116" i="9"/>
  <c r="H116" i="9"/>
  <c r="I116" i="9"/>
  <c r="J116" i="9"/>
  <c r="K116" i="9"/>
  <c r="L116" i="9"/>
  <c r="M116" i="9"/>
  <c r="N116" i="9"/>
  <c r="O116" i="9"/>
  <c r="P116" i="9"/>
  <c r="B117" i="9"/>
  <c r="C117" i="9"/>
  <c r="D117" i="9"/>
  <c r="E117" i="9"/>
  <c r="F117" i="9"/>
  <c r="G117" i="9"/>
  <c r="H117" i="9"/>
  <c r="I117" i="9"/>
  <c r="J117" i="9"/>
  <c r="K117" i="9"/>
  <c r="L117" i="9"/>
  <c r="M117" i="9"/>
  <c r="N117" i="9"/>
  <c r="O117" i="9"/>
  <c r="P117" i="9"/>
  <c r="B118" i="9"/>
  <c r="C118" i="9"/>
  <c r="D118" i="9"/>
  <c r="E118" i="9"/>
  <c r="F118" i="9"/>
  <c r="G118" i="9"/>
  <c r="H118" i="9"/>
  <c r="I118" i="9"/>
  <c r="J118" i="9"/>
  <c r="K118" i="9"/>
  <c r="L118" i="9"/>
  <c r="M118" i="9"/>
  <c r="N118" i="9"/>
  <c r="O118" i="9"/>
  <c r="P118" i="9"/>
  <c r="B119" i="9"/>
  <c r="C119" i="9"/>
  <c r="D119" i="9"/>
  <c r="E119" i="9"/>
  <c r="F119" i="9"/>
  <c r="G119" i="9"/>
  <c r="H119" i="9"/>
  <c r="I119" i="9"/>
  <c r="J119" i="9"/>
  <c r="K119" i="9"/>
  <c r="L119" i="9"/>
  <c r="M119" i="9"/>
  <c r="N119" i="9"/>
  <c r="O119" i="9"/>
  <c r="P119" i="9"/>
  <c r="B120" i="9"/>
  <c r="C120" i="9"/>
  <c r="D120" i="9"/>
  <c r="E120" i="9"/>
  <c r="F120" i="9"/>
  <c r="G120" i="9"/>
  <c r="H120" i="9"/>
  <c r="I120" i="9"/>
  <c r="J120" i="9"/>
  <c r="K120" i="9"/>
  <c r="L120" i="9"/>
  <c r="M120" i="9"/>
  <c r="N120" i="9"/>
  <c r="O120" i="9"/>
  <c r="P120" i="9"/>
  <c r="B121" i="9"/>
  <c r="C121" i="9"/>
  <c r="D121" i="9"/>
  <c r="E121" i="9"/>
  <c r="F121" i="9"/>
  <c r="G121" i="9"/>
  <c r="H121" i="9"/>
  <c r="I121" i="9"/>
  <c r="J121" i="9"/>
  <c r="K121" i="9"/>
  <c r="L121" i="9"/>
  <c r="M121" i="9"/>
  <c r="N121" i="9"/>
  <c r="O121" i="9"/>
  <c r="P121" i="9"/>
  <c r="B122" i="9"/>
  <c r="C122" i="9"/>
  <c r="D122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B123" i="9"/>
  <c r="C123" i="9"/>
  <c r="D123" i="9"/>
  <c r="E123" i="9"/>
  <c r="F123" i="9"/>
  <c r="G123" i="9"/>
  <c r="H123" i="9"/>
  <c r="I123" i="9"/>
  <c r="J123" i="9"/>
  <c r="K123" i="9"/>
  <c r="L123" i="9"/>
  <c r="M123" i="9"/>
  <c r="N123" i="9"/>
  <c r="O123" i="9"/>
  <c r="P123" i="9"/>
  <c r="B124" i="9"/>
  <c r="C124" i="9"/>
  <c r="D124" i="9"/>
  <c r="E124" i="9"/>
  <c r="F124" i="9"/>
  <c r="G124" i="9"/>
  <c r="H124" i="9"/>
  <c r="I124" i="9"/>
  <c r="J124" i="9"/>
  <c r="K124" i="9"/>
  <c r="L124" i="9"/>
  <c r="M124" i="9"/>
  <c r="N124" i="9"/>
  <c r="O124" i="9"/>
  <c r="P124" i="9"/>
  <c r="B125" i="9"/>
  <c r="C125" i="9"/>
  <c r="D125" i="9"/>
  <c r="E125" i="9"/>
  <c r="F125" i="9"/>
  <c r="G125" i="9"/>
  <c r="H125" i="9"/>
  <c r="I125" i="9"/>
  <c r="J125" i="9"/>
  <c r="K125" i="9"/>
  <c r="L125" i="9"/>
  <c r="M125" i="9"/>
  <c r="N125" i="9"/>
  <c r="O125" i="9"/>
  <c r="P125" i="9"/>
  <c r="B126" i="9"/>
  <c r="C126" i="9"/>
  <c r="D126" i="9"/>
  <c r="E126" i="9"/>
  <c r="F126" i="9"/>
  <c r="G126" i="9"/>
  <c r="H126" i="9"/>
  <c r="I126" i="9"/>
  <c r="J126" i="9"/>
  <c r="K126" i="9"/>
  <c r="L126" i="9"/>
  <c r="M126" i="9"/>
  <c r="N126" i="9"/>
  <c r="O126" i="9"/>
  <c r="P126" i="9"/>
  <c r="B127" i="9"/>
  <c r="C127" i="9"/>
  <c r="D127" i="9"/>
  <c r="E127" i="9"/>
  <c r="F127" i="9"/>
  <c r="G127" i="9"/>
  <c r="H127" i="9"/>
  <c r="I127" i="9"/>
  <c r="J127" i="9"/>
  <c r="K127" i="9"/>
  <c r="L127" i="9"/>
  <c r="M127" i="9"/>
  <c r="N127" i="9"/>
  <c r="O127" i="9"/>
  <c r="P127" i="9"/>
  <c r="B128" i="9"/>
  <c r="C128" i="9"/>
  <c r="D128" i="9"/>
  <c r="E128" i="9"/>
  <c r="F128" i="9"/>
  <c r="G128" i="9"/>
  <c r="H128" i="9"/>
  <c r="I128" i="9"/>
  <c r="J128" i="9"/>
  <c r="K128" i="9"/>
  <c r="L128" i="9"/>
  <c r="M128" i="9"/>
  <c r="N128" i="9"/>
  <c r="O128" i="9"/>
  <c r="P128" i="9"/>
  <c r="B129" i="9"/>
  <c r="C129" i="9"/>
  <c r="D129" i="9"/>
  <c r="E129" i="9"/>
  <c r="F129" i="9"/>
  <c r="G129" i="9"/>
  <c r="H129" i="9"/>
  <c r="I129" i="9"/>
  <c r="J129" i="9"/>
  <c r="K129" i="9"/>
  <c r="L129" i="9"/>
  <c r="M129" i="9"/>
  <c r="N129" i="9"/>
  <c r="O129" i="9"/>
  <c r="P129" i="9"/>
  <c r="B130" i="9"/>
  <c r="C130" i="9"/>
  <c r="D130" i="9"/>
  <c r="E130" i="9"/>
  <c r="F130" i="9"/>
  <c r="G130" i="9"/>
  <c r="H130" i="9"/>
  <c r="I130" i="9"/>
  <c r="J130" i="9"/>
  <c r="K130" i="9"/>
  <c r="L130" i="9"/>
  <c r="M130" i="9"/>
  <c r="N130" i="9"/>
  <c r="O130" i="9"/>
  <c r="P130" i="9"/>
  <c r="B131" i="9"/>
  <c r="C131" i="9"/>
  <c r="D131" i="9"/>
  <c r="E131" i="9"/>
  <c r="F131" i="9"/>
  <c r="G131" i="9"/>
  <c r="H131" i="9"/>
  <c r="I131" i="9"/>
  <c r="J131" i="9"/>
  <c r="K131" i="9"/>
  <c r="L131" i="9"/>
  <c r="M131" i="9"/>
  <c r="N131" i="9"/>
  <c r="O131" i="9"/>
  <c r="P131" i="9"/>
  <c r="B132" i="9"/>
  <c r="C132" i="9"/>
  <c r="D132" i="9"/>
  <c r="E132" i="9"/>
  <c r="F132" i="9"/>
  <c r="G132" i="9"/>
  <c r="H132" i="9"/>
  <c r="I132" i="9"/>
  <c r="J132" i="9"/>
  <c r="K132" i="9"/>
  <c r="L132" i="9"/>
  <c r="M132" i="9"/>
  <c r="N132" i="9"/>
  <c r="O132" i="9"/>
  <c r="P132" i="9"/>
  <c r="B133" i="9"/>
  <c r="C133" i="9"/>
  <c r="D133" i="9"/>
  <c r="E133" i="9"/>
  <c r="F133" i="9"/>
  <c r="G133" i="9"/>
  <c r="H133" i="9"/>
  <c r="I133" i="9"/>
  <c r="J133" i="9"/>
  <c r="K133" i="9"/>
  <c r="L133" i="9"/>
  <c r="M133" i="9"/>
  <c r="N133" i="9"/>
  <c r="O133" i="9"/>
  <c r="P133" i="9"/>
  <c r="B134" i="9"/>
  <c r="C134" i="9"/>
  <c r="D134" i="9"/>
  <c r="E134" i="9"/>
  <c r="F134" i="9"/>
  <c r="G134" i="9"/>
  <c r="H134" i="9"/>
  <c r="I134" i="9"/>
  <c r="J134" i="9"/>
  <c r="K134" i="9"/>
  <c r="L134" i="9"/>
  <c r="M134" i="9"/>
  <c r="N134" i="9"/>
  <c r="O134" i="9"/>
  <c r="P134" i="9"/>
  <c r="B135" i="9"/>
  <c r="C135" i="9"/>
  <c r="D135" i="9"/>
  <c r="E135" i="9"/>
  <c r="F135" i="9"/>
  <c r="G135" i="9"/>
  <c r="H135" i="9"/>
  <c r="I135" i="9"/>
  <c r="J135" i="9"/>
  <c r="K135" i="9"/>
  <c r="L135" i="9"/>
  <c r="M135" i="9"/>
  <c r="N135" i="9"/>
  <c r="O135" i="9"/>
  <c r="P135" i="9"/>
  <c r="B136" i="9"/>
  <c r="C136" i="9"/>
  <c r="D136" i="9"/>
  <c r="E136" i="9"/>
  <c r="F136" i="9"/>
  <c r="G136" i="9"/>
  <c r="H136" i="9"/>
  <c r="I136" i="9"/>
  <c r="J136" i="9"/>
  <c r="K136" i="9"/>
  <c r="L136" i="9"/>
  <c r="M136" i="9"/>
  <c r="N136" i="9"/>
  <c r="O136" i="9"/>
  <c r="P136" i="9"/>
  <c r="B137" i="9"/>
  <c r="C137" i="9"/>
  <c r="D137" i="9"/>
  <c r="E137" i="9"/>
  <c r="F137" i="9"/>
  <c r="G137" i="9"/>
  <c r="H137" i="9"/>
  <c r="I137" i="9"/>
  <c r="J137" i="9"/>
  <c r="K137" i="9"/>
  <c r="L137" i="9"/>
  <c r="M137" i="9"/>
  <c r="N137" i="9"/>
  <c r="O137" i="9"/>
  <c r="P137" i="9"/>
  <c r="B138" i="9"/>
  <c r="C138" i="9"/>
  <c r="D138" i="9"/>
  <c r="E138" i="9"/>
  <c r="F138" i="9"/>
  <c r="G138" i="9"/>
  <c r="H138" i="9"/>
  <c r="I138" i="9"/>
  <c r="J138" i="9"/>
  <c r="K138" i="9"/>
  <c r="L138" i="9"/>
  <c r="M138" i="9"/>
  <c r="N138" i="9"/>
  <c r="O138" i="9"/>
  <c r="P138" i="9"/>
  <c r="P2" i="9" l="1"/>
  <c r="P139" i="9" s="1"/>
  <c r="P141" i="9" s="1"/>
  <c r="O2" i="9"/>
  <c r="O139" i="9" s="1"/>
  <c r="O141" i="9" s="1"/>
  <c r="N2" i="9"/>
  <c r="N139" i="9" s="1"/>
  <c r="N141" i="9" s="1"/>
  <c r="M2" i="9"/>
  <c r="M139" i="9" s="1"/>
  <c r="M141" i="9" s="1"/>
  <c r="L2" i="9"/>
  <c r="L139" i="9" s="1"/>
  <c r="L141" i="9" s="1"/>
  <c r="K2" i="9"/>
  <c r="K139" i="9" s="1"/>
  <c r="K141" i="9" s="1"/>
  <c r="J2" i="9"/>
  <c r="J139" i="9" s="1"/>
  <c r="J141" i="9" s="1"/>
  <c r="I2" i="9"/>
  <c r="I139" i="9" s="1"/>
  <c r="I141" i="9" s="1"/>
  <c r="H2" i="9"/>
  <c r="H139" i="9" s="1"/>
  <c r="H141" i="9" s="1"/>
  <c r="G2" i="9"/>
  <c r="G139" i="9" s="1"/>
  <c r="G141" i="9" s="1"/>
  <c r="F2" i="9"/>
  <c r="F139" i="9" s="1"/>
  <c r="F141" i="9" s="1"/>
  <c r="E2" i="9"/>
  <c r="E139" i="9" s="1"/>
  <c r="E141" i="9" s="1"/>
  <c r="D2" i="9"/>
  <c r="D139" i="9" s="1"/>
  <c r="D141" i="9" s="1"/>
  <c r="C2" i="9"/>
  <c r="C139" i="9" s="1"/>
  <c r="C141" i="9" s="1"/>
  <c r="B2" i="9"/>
  <c r="B139" i="9" s="1"/>
  <c r="B141" i="9" s="1"/>
  <c r="B140" i="9" l="1"/>
  <c r="G140" i="9"/>
  <c r="J140" i="9"/>
  <c r="N140" i="9"/>
  <c r="E140" i="9"/>
  <c r="M140" i="9"/>
  <c r="C140" i="9"/>
  <c r="O140" i="9"/>
  <c r="D140" i="9"/>
  <c r="H140" i="9"/>
  <c r="L140" i="9"/>
  <c r="P140" i="9"/>
  <c r="C93" i="8"/>
  <c r="C95" i="8" s="1"/>
  <c r="G93" i="8"/>
  <c r="G95" i="8" s="1"/>
  <c r="K93" i="8"/>
  <c r="K95" i="8" s="1"/>
  <c r="O93" i="8"/>
  <c r="O95" i="8" s="1"/>
  <c r="B93" i="8"/>
  <c r="B95" i="8" s="1"/>
  <c r="P93" i="8"/>
  <c r="P95" i="8" s="1"/>
  <c r="N93" i="8"/>
  <c r="N95" i="8" s="1"/>
  <c r="M93" i="8"/>
  <c r="M95" i="8" s="1"/>
  <c r="L93" i="8"/>
  <c r="L95" i="8" s="1"/>
  <c r="J93" i="8"/>
  <c r="J95" i="8" s="1"/>
  <c r="I93" i="8"/>
  <c r="I95" i="8" s="1"/>
  <c r="H93" i="8"/>
  <c r="H95" i="8" s="1"/>
  <c r="F93" i="8"/>
  <c r="F95" i="8" s="1"/>
  <c r="E93" i="8"/>
  <c r="E95" i="8" s="1"/>
  <c r="D93" i="8"/>
  <c r="D95" i="8" s="1"/>
  <c r="B142" i="9" l="1"/>
  <c r="G142" i="9"/>
  <c r="K140" i="9"/>
  <c r="K142" i="9" s="1"/>
  <c r="F140" i="9"/>
  <c r="F142" i="9" s="1"/>
  <c r="I140" i="9"/>
  <c r="I142" i="9" s="1"/>
  <c r="P142" i="9"/>
  <c r="H142" i="9"/>
  <c r="O142" i="9"/>
  <c r="M142" i="9"/>
  <c r="J142" i="9"/>
  <c r="L142" i="9"/>
  <c r="D142" i="9"/>
  <c r="C142" i="9"/>
  <c r="E142" i="9"/>
  <c r="N142" i="9"/>
  <c r="B94" i="8"/>
  <c r="N94" i="8"/>
  <c r="J94" i="8"/>
  <c r="G94" i="8"/>
  <c r="K94" i="8"/>
  <c r="P94" i="8"/>
  <c r="M94" i="8"/>
  <c r="I94" i="8" l="1"/>
  <c r="I96" i="8" s="1"/>
  <c r="O94" i="8"/>
  <c r="O96" i="8" s="1"/>
  <c r="E94" i="8"/>
  <c r="E96" i="8" s="1"/>
  <c r="N96" i="8"/>
  <c r="C94" i="8"/>
  <c r="C96" i="8" s="1"/>
  <c r="P96" i="8"/>
  <c r="B96" i="8"/>
  <c r="D94" i="8"/>
  <c r="D96" i="8" s="1"/>
  <c r="G96" i="8"/>
  <c r="F94" i="8"/>
  <c r="F96" i="8" s="1"/>
  <c r="H94" i="8"/>
  <c r="H96" i="8" s="1"/>
  <c r="J96" i="8"/>
  <c r="K96" i="8"/>
  <c r="L94" i="8"/>
  <c r="L96" i="8" s="1"/>
  <c r="M96" i="8"/>
</calcChain>
</file>

<file path=xl/sharedStrings.xml><?xml version="1.0" encoding="utf-8"?>
<sst xmlns="http://schemas.openxmlformats.org/spreadsheetml/2006/main" count="2998" uniqueCount="823">
  <si>
    <t>daanbib</t>
  </si>
  <si>
    <t>sum</t>
  </si>
  <si>
    <t>social</t>
  </si>
  <si>
    <t>actor</t>
  </si>
  <si>
    <t>spider</t>
  </si>
  <si>
    <t>markov</t>
  </si>
  <si>
    <t>Supply_Chain_Management</t>
  </si>
  <si>
    <t>asymptotic</t>
  </si>
  <si>
    <t>cites.ref</t>
  </si>
  <si>
    <t>econophysics</t>
  </si>
  <si>
    <t>logic</t>
  </si>
  <si>
    <t>incidence</t>
  </si>
  <si>
    <t>cim</t>
  </si>
  <si>
    <t>economic</t>
  </si>
  <si>
    <t>semweb</t>
  </si>
  <si>
    <t>gravity</t>
  </si>
  <si>
    <t>Non_Equilibrium</t>
  </si>
  <si>
    <t>hedge</t>
  </si>
  <si>
    <t>ubma</t>
  </si>
  <si>
    <t>ezb</t>
  </si>
  <si>
    <t>gm</t>
  </si>
  <si>
    <t>adam</t>
  </si>
  <si>
    <t>multinomial</t>
  </si>
  <si>
    <t>src</t>
  </si>
  <si>
    <t>umpc</t>
  </si>
  <si>
    <t>panel</t>
  </si>
  <si>
    <t>Web_2.0</t>
  </si>
  <si>
    <t>carrier</t>
  </si>
  <si>
    <t>presidency</t>
  </si>
  <si>
    <t>trademark</t>
  </si>
  <si>
    <t>Energy_Consumption</t>
  </si>
  <si>
    <t>gesis</t>
  </si>
  <si>
    <t>Ontology_Driven</t>
  </si>
  <si>
    <t>pam</t>
  </si>
  <si>
    <t>informationsdienstleistung</t>
  </si>
  <si>
    <t>Probability_Theory</t>
  </si>
  <si>
    <t>personalcomputer</t>
  </si>
  <si>
    <t>propeller</t>
  </si>
  <si>
    <t>fourth</t>
  </si>
  <si>
    <t>objektorientierung</t>
  </si>
  <si>
    <t>emotion</t>
  </si>
  <si>
    <t>coevolution</t>
  </si>
  <si>
    <t>mixture</t>
  </si>
  <si>
    <t>consistency</t>
  </si>
  <si>
    <t>portugal</t>
  </si>
  <si>
    <t>1800</t>
  </si>
  <si>
    <t>printed</t>
  </si>
  <si>
    <t>brownian</t>
  </si>
  <si>
    <t>subject</t>
  </si>
  <si>
    <t>ethology</t>
  </si>
  <si>
    <t>encounter</t>
  </si>
  <si>
    <t>expo</t>
  </si>
  <si>
    <t>immunoprecipitation</t>
  </si>
  <si>
    <t>politologie</t>
  </si>
  <si>
    <t>pancreatitis</t>
  </si>
  <si>
    <t>cellulose</t>
  </si>
  <si>
    <t>ipos</t>
  </si>
  <si>
    <t>utah</t>
  </si>
  <si>
    <t>northern</t>
  </si>
  <si>
    <t>southern</t>
  </si>
  <si>
    <t>diffraction</t>
  </si>
  <si>
    <t>horizontal</t>
  </si>
  <si>
    <t>profit</t>
  </si>
  <si>
    <t>utterance</t>
  </si>
  <si>
    <t>networkx</t>
  </si>
  <si>
    <t>cyberbullying</t>
  </si>
  <si>
    <t>Load_Balancing</t>
  </si>
  <si>
    <t>pregnant</t>
  </si>
  <si>
    <t>Energy_Efficiency</t>
  </si>
  <si>
    <t>ceremony</t>
  </si>
  <si>
    <t>authoritative</t>
  </si>
  <si>
    <t>sonycsl</t>
  </si>
  <si>
    <t>longitudinal</t>
  </si>
  <si>
    <t>predictive</t>
  </si>
  <si>
    <t>endogenous</t>
  </si>
  <si>
    <t>one</t>
  </si>
  <si>
    <t>order</t>
  </si>
  <si>
    <t>logistik</t>
  </si>
  <si>
    <t>institutionalismus</t>
  </si>
  <si>
    <t>Optical_Flow</t>
  </si>
  <si>
    <t>nonparametric</t>
  </si>
  <si>
    <t>pfc</t>
  </si>
  <si>
    <t>monetary</t>
  </si>
  <si>
    <t>stochastic</t>
  </si>
  <si>
    <t>date</t>
  </si>
  <si>
    <t>multivariate</t>
  </si>
  <si>
    <t>subjectivity</t>
  </si>
  <si>
    <t>estimate</t>
  </si>
  <si>
    <t>rate</t>
  </si>
  <si>
    <t>entry</t>
  </si>
  <si>
    <t>endocrine</t>
  </si>
  <si>
    <t>ical</t>
  </si>
  <si>
    <t>retrospective</t>
  </si>
  <si>
    <t>quadratic</t>
  </si>
  <si>
    <t>status</t>
  </si>
  <si>
    <t>oral</t>
  </si>
  <si>
    <t>mnemonic</t>
  </si>
  <si>
    <t>steroid</t>
  </si>
  <si>
    <t>revenue</t>
  </si>
  <si>
    <t>Data_Interpretation</t>
  </si>
  <si>
    <t>spill</t>
  </si>
  <si>
    <t>catholic</t>
  </si>
  <si>
    <t>concentric</t>
  </si>
  <si>
    <t>vasoconstrictor</t>
  </si>
  <si>
    <t>cardio</t>
  </si>
  <si>
    <t>decentralize</t>
  </si>
  <si>
    <t>cuba</t>
  </si>
  <si>
    <t>dairy</t>
  </si>
  <si>
    <t>Solar_Cell</t>
  </si>
  <si>
    <t>2006</t>
  </si>
  <si>
    <t>locomotion</t>
  </si>
  <si>
    <t>skill</t>
  </si>
  <si>
    <t>allocation</t>
  </si>
  <si>
    <t>Case_Control</t>
  </si>
  <si>
    <t>environmental</t>
  </si>
  <si>
    <t>collaborative</t>
  </si>
  <si>
    <t>Formation_Continue</t>
  </si>
  <si>
    <t>cultivation</t>
  </si>
  <si>
    <t>gray</t>
  </si>
  <si>
    <t>fluctuate</t>
  </si>
  <si>
    <t>directional</t>
  </si>
  <si>
    <t>res</t>
  </si>
  <si>
    <t>programmevaluation</t>
  </si>
  <si>
    <t>erosion</t>
  </si>
  <si>
    <t>elephant</t>
  </si>
  <si>
    <t>brittle</t>
  </si>
  <si>
    <t>destruction</t>
  </si>
  <si>
    <t>creatinine</t>
  </si>
  <si>
    <t>abelian</t>
  </si>
  <si>
    <t>cascade</t>
  </si>
  <si>
    <t>fes</t>
  </si>
  <si>
    <t>noble</t>
  </si>
  <si>
    <t>hyperbolic</t>
  </si>
  <si>
    <t>namespace</t>
  </si>
  <si>
    <t>attrition</t>
  </si>
  <si>
    <t>activate</t>
  </si>
  <si>
    <t>courage</t>
  </si>
  <si>
    <t>permalink</t>
  </si>
  <si>
    <t>schlagwortkatalog</t>
  </si>
  <si>
    <t>dawn</t>
  </si>
  <si>
    <t>horn</t>
  </si>
  <si>
    <t>becker</t>
  </si>
  <si>
    <t>Interpersonal_Relations</t>
  </si>
  <si>
    <t>christmas</t>
  </si>
  <si>
    <t>invest</t>
  </si>
  <si>
    <t>incomplete</t>
  </si>
  <si>
    <t>taxation</t>
  </si>
  <si>
    <t>prolearn</t>
  </si>
  <si>
    <t>macroeconomics</t>
  </si>
  <si>
    <t>bio</t>
  </si>
  <si>
    <t>vis</t>
  </si>
  <si>
    <t>lang</t>
  </si>
  <si>
    <t>decentralization</t>
  </si>
  <si>
    <t>South_Africa</t>
  </si>
  <si>
    <t>toluene</t>
  </si>
  <si>
    <t>pipeline</t>
  </si>
  <si>
    <t>hypoglycemia</t>
  </si>
  <si>
    <t>standardization</t>
  </si>
  <si>
    <t>independence</t>
  </si>
  <si>
    <t>ovarian</t>
  </si>
  <si>
    <t>chirality</t>
  </si>
  <si>
    <t>investigation</t>
  </si>
  <si>
    <t>women's</t>
  </si>
  <si>
    <t>supplier</t>
  </si>
  <si>
    <t>accreditation</t>
  </si>
  <si>
    <t>septum</t>
  </si>
  <si>
    <t>fluoride</t>
  </si>
  <si>
    <t>High_Tc</t>
  </si>
  <si>
    <t>different</t>
  </si>
  <si>
    <t>oscillometry</t>
  </si>
  <si>
    <t>sensor</t>
  </si>
  <si>
    <t>institutionalization</t>
  </si>
  <si>
    <t>semantic</t>
  </si>
  <si>
    <t>superior</t>
  </si>
  <si>
    <t>cites.gradu</t>
  </si>
  <si>
    <t>fba</t>
  </si>
  <si>
    <t>uurimus</t>
  </si>
  <si>
    <t>internet</t>
  </si>
  <si>
    <t>arvuti</t>
  </si>
  <si>
    <t>cip</t>
  </si>
  <si>
    <t>noored</t>
  </si>
  <si>
    <t>deontic</t>
  </si>
  <si>
    <t>dls</t>
  </si>
  <si>
    <t>torrent</t>
  </si>
  <si>
    <t>broadcast</t>
  </si>
  <si>
    <t>googlemaps</t>
  </si>
  <si>
    <t>broadcasting</t>
  </si>
  <si>
    <t>bullshit</t>
  </si>
  <si>
    <t>bookmarklet</t>
  </si>
  <si>
    <t>anonymization</t>
  </si>
  <si>
    <t>biosensors</t>
  </si>
  <si>
    <t>mob</t>
  </si>
  <si>
    <t>beer</t>
  </si>
  <si>
    <t>Learning_Through_Language</t>
  </si>
  <si>
    <t>Peer_Production</t>
  </si>
  <si>
    <t>attainment</t>
  </si>
  <si>
    <t>X_509</t>
  </si>
  <si>
    <t>literaturverwaltung</t>
  </si>
  <si>
    <t>french</t>
  </si>
  <si>
    <t>Cloud_Computing</t>
  </si>
  <si>
    <t>diamond</t>
  </si>
  <si>
    <t>Enduser_Programming</t>
  </si>
  <si>
    <t>Critical_Theory</t>
  </si>
  <si>
    <t>osn</t>
  </si>
  <si>
    <t>competitor</t>
  </si>
  <si>
    <t>Code_Quality</t>
  </si>
  <si>
    <t>phospholipid</t>
  </si>
  <si>
    <t>pragmatism</t>
  </si>
  <si>
    <t>simpson</t>
  </si>
  <si>
    <t>quench</t>
  </si>
  <si>
    <t>gml</t>
  </si>
  <si>
    <t>replay</t>
  </si>
  <si>
    <t>versioning</t>
  </si>
  <si>
    <t>Peer_Review</t>
  </si>
  <si>
    <t>ht09</t>
  </si>
  <si>
    <t>lies</t>
  </si>
  <si>
    <t>groove</t>
  </si>
  <si>
    <t>clip</t>
  </si>
  <si>
    <t>Decision_Support_Systems</t>
  </si>
  <si>
    <t>polytope</t>
  </si>
  <si>
    <t>Toll_Like</t>
  </si>
  <si>
    <t>rms</t>
  </si>
  <si>
    <t>letter</t>
  </si>
  <si>
    <t>fluent</t>
  </si>
  <si>
    <t>duesseldorf</t>
  </si>
  <si>
    <t>preserve</t>
  </si>
  <si>
    <t>deadline</t>
  </si>
  <si>
    <t>pipe</t>
  </si>
  <si>
    <t>amorphous</t>
  </si>
  <si>
    <t>taiwan</t>
  </si>
  <si>
    <t>supplement</t>
  </si>
  <si>
    <t>bilateral</t>
  </si>
  <si>
    <t>physiology</t>
  </si>
  <si>
    <t>waterfall</t>
  </si>
  <si>
    <t>critic</t>
  </si>
  <si>
    <t>calculate</t>
  </si>
  <si>
    <t>essential</t>
  </si>
  <si>
    <t>Inter_Organizational</t>
  </si>
  <si>
    <t>newton</t>
  </si>
  <si>
    <t>proxy</t>
  </si>
  <si>
    <t>vibrotactile</t>
  </si>
  <si>
    <t>fermentation</t>
  </si>
  <si>
    <t>stereotyp</t>
  </si>
  <si>
    <t>darwin</t>
  </si>
  <si>
    <t>religionskritik</t>
  </si>
  <si>
    <t>passion</t>
  </si>
  <si>
    <t>Oral_History</t>
  </si>
  <si>
    <t>digitize</t>
  </si>
  <si>
    <t>epistemologie</t>
  </si>
  <si>
    <t>obama</t>
  </si>
  <si>
    <t>ethical</t>
  </si>
  <si>
    <t>AHC</t>
  </si>
  <si>
    <t>dgb</t>
  </si>
  <si>
    <t>infowiss</t>
  </si>
  <si>
    <t>inorganic</t>
  </si>
  <si>
    <t>koran</t>
  </si>
  <si>
    <t>ti</t>
  </si>
  <si>
    <t>aorta</t>
  </si>
  <si>
    <t>andragogik</t>
  </si>
  <si>
    <t>repec</t>
  </si>
  <si>
    <t>push</t>
  </si>
  <si>
    <t>ling</t>
  </si>
  <si>
    <t>N_Gram</t>
  </si>
  <si>
    <t>dense</t>
  </si>
  <si>
    <t>maria</t>
  </si>
  <si>
    <t>secretion</t>
  </si>
  <si>
    <t>should</t>
  </si>
  <si>
    <t>Facetted_Browsing</t>
  </si>
  <si>
    <t>Object_Oriented_Programming</t>
  </si>
  <si>
    <t>locust</t>
  </si>
  <si>
    <t>Bibliotecas_Universitarias</t>
  </si>
  <si>
    <t>superconducting</t>
  </si>
  <si>
    <t>trim</t>
  </si>
  <si>
    <t>bwl</t>
  </si>
  <si>
    <t>cdf</t>
  </si>
  <si>
    <t>w</t>
  </si>
  <si>
    <t>breadth</t>
  </si>
  <si>
    <t>gott</t>
  </si>
  <si>
    <t>cpr</t>
  </si>
  <si>
    <t>optoelectronics</t>
  </si>
  <si>
    <t>restraint</t>
  </si>
  <si>
    <t>wakefulness</t>
  </si>
  <si>
    <t>kohonen</t>
  </si>
  <si>
    <t>dfb</t>
  </si>
  <si>
    <t>dgi</t>
  </si>
  <si>
    <t>straw</t>
  </si>
  <si>
    <t>cattuto</t>
  </si>
  <si>
    <t>intestinal</t>
  </si>
  <si>
    <t>aussiedlerin</t>
  </si>
  <si>
    <t>ketone</t>
  </si>
  <si>
    <t>dsm</t>
  </si>
  <si>
    <t>dtp</t>
  </si>
  <si>
    <t>integrationsforschung</t>
  </si>
  <si>
    <t>Social_Security</t>
  </si>
  <si>
    <t>marx</t>
  </si>
  <si>
    <t>nonviolence</t>
  </si>
  <si>
    <t>mohammed</t>
  </si>
  <si>
    <t>ecm</t>
  </si>
  <si>
    <t>research.conceptual</t>
  </si>
  <si>
    <t>eng</t>
  </si>
  <si>
    <t>etl</t>
  </si>
  <si>
    <t>tribe</t>
  </si>
  <si>
    <t>elderly</t>
  </si>
  <si>
    <t>cropping</t>
  </si>
  <si>
    <t>faq</t>
  </si>
  <si>
    <t>foil</t>
  </si>
  <si>
    <t>stigma</t>
  </si>
  <si>
    <t>postgraduate</t>
  </si>
  <si>
    <t>germanium</t>
  </si>
  <si>
    <t>ag</t>
  </si>
  <si>
    <t>bc</t>
  </si>
  <si>
    <t>oils</t>
  </si>
  <si>
    <t>ni</t>
  </si>
  <si>
    <t>sa</t>
  </si>
  <si>
    <t>si</t>
  </si>
  <si>
    <t>ger</t>
  </si>
  <si>
    <t>amide</t>
  </si>
  <si>
    <t>citeulike</t>
  </si>
  <si>
    <t>schumpeter</t>
  </si>
  <si>
    <t>organisationssoziologie</t>
  </si>
  <si>
    <t>multiresolution</t>
  </si>
  <si>
    <t>religionssoziologie</t>
  </si>
  <si>
    <t>Radiation_Effects</t>
  </si>
  <si>
    <t>Relational_Model</t>
  </si>
  <si>
    <t>pacific</t>
  </si>
  <si>
    <t>replica</t>
  </si>
  <si>
    <t>convex</t>
  </si>
  <si>
    <t>wale</t>
  </si>
  <si>
    <t>arabidopsis</t>
  </si>
  <si>
    <t>Preferential_Attachment</t>
  </si>
  <si>
    <t>circus</t>
  </si>
  <si>
    <t>runtime</t>
  </si>
  <si>
    <t>vicus</t>
  </si>
  <si>
    <t>interior</t>
  </si>
  <si>
    <t>Sentiment_Analysis</t>
  </si>
  <si>
    <t>webshop</t>
  </si>
  <si>
    <t>webcontrolling</t>
  </si>
  <si>
    <t>present</t>
  </si>
  <si>
    <t>negri</t>
  </si>
  <si>
    <t>icu</t>
  </si>
  <si>
    <t>iec</t>
  </si>
  <si>
    <t>Sociocultural_Theory</t>
  </si>
  <si>
    <t>church</t>
  </si>
  <si>
    <t>ill</t>
  </si>
  <si>
    <t>isi</t>
  </si>
  <si>
    <t>ita</t>
  </si>
  <si>
    <t>olsr</t>
  </si>
  <si>
    <t>paste</t>
  </si>
  <si>
    <t>ss2010</t>
  </si>
  <si>
    <t>polyelectrolyte</t>
  </si>
  <si>
    <t>Text_Categorization</t>
  </si>
  <si>
    <t>genital</t>
  </si>
  <si>
    <t>kappa</t>
  </si>
  <si>
    <t>Learn_Web2.0</t>
  </si>
  <si>
    <t>projektcontrolling</t>
  </si>
  <si>
    <t>l3t</t>
  </si>
  <si>
    <t>konfliktregelung</t>
  </si>
  <si>
    <t>allmende</t>
  </si>
  <si>
    <t>Random_Matrix</t>
  </si>
  <si>
    <t>turing</t>
  </si>
  <si>
    <t>disruptive</t>
  </si>
  <si>
    <t>download</t>
  </si>
  <si>
    <t>scent</t>
  </si>
  <si>
    <t>intestine</t>
  </si>
  <si>
    <t>photoionization,</t>
  </si>
  <si>
    <t>mathematician</t>
  </si>
  <si>
    <t>Static_Analysis</t>
  </si>
  <si>
    <t>outlook</t>
  </si>
  <si>
    <t>altmetrics</t>
  </si>
  <si>
    <t>Genre_Based</t>
  </si>
  <si>
    <t>raise</t>
  </si>
  <si>
    <t>less</t>
  </si>
  <si>
    <t>feedforward</t>
  </si>
  <si>
    <t>Physical_Stimulation</t>
  </si>
  <si>
    <t>imperialism</t>
  </si>
  <si>
    <t>osmolar</t>
  </si>
  <si>
    <t>solidarity</t>
  </si>
  <si>
    <t>tumble</t>
  </si>
  <si>
    <t>herbal</t>
  </si>
  <si>
    <t>allah</t>
  </si>
  <si>
    <t>mine</t>
  </si>
  <si>
    <t>langmuir</t>
  </si>
  <si>
    <t>opera</t>
  </si>
  <si>
    <t>animat</t>
  </si>
  <si>
    <t>Amino_Acids</t>
  </si>
  <si>
    <t>vegetable</t>
  </si>
  <si>
    <t>moa</t>
  </si>
  <si>
    <t>mop</t>
  </si>
  <si>
    <t>informaci'on</t>
  </si>
  <si>
    <t>soboleo</t>
  </si>
  <si>
    <t>smartweb</t>
  </si>
  <si>
    <t>titanic</t>
  </si>
  <si>
    <t>swell</t>
  </si>
  <si>
    <t>morality</t>
  </si>
  <si>
    <t>Np_Hardness</t>
  </si>
  <si>
    <t>droplet</t>
  </si>
  <si>
    <t>nitrile</t>
  </si>
  <si>
    <t>width</t>
  </si>
  <si>
    <t>decompression</t>
  </si>
  <si>
    <t>Rational_Choice</t>
  </si>
  <si>
    <t>mulatta</t>
  </si>
  <si>
    <t>consultancy</t>
  </si>
  <si>
    <t>inhomogeneous</t>
  </si>
  <si>
    <t>parenting</t>
  </si>
  <si>
    <t>ancient</t>
  </si>
  <si>
    <t>omg</t>
  </si>
  <si>
    <t>apprenticeship</t>
  </si>
  <si>
    <t>variety</t>
  </si>
  <si>
    <t>Code_Generation</t>
  </si>
  <si>
    <t>expiratory</t>
  </si>
  <si>
    <t>informationsmarkt</t>
  </si>
  <si>
    <t>terror</t>
  </si>
  <si>
    <t>Identity_Management</t>
  </si>
  <si>
    <t>pnictides</t>
  </si>
  <si>
    <t>softwarepatent</t>
  </si>
  <si>
    <t>intrinsic</t>
  </si>
  <si>
    <t>medial</t>
  </si>
  <si>
    <t>psm</t>
  </si>
  <si>
    <t>Social_Construction</t>
  </si>
  <si>
    <t>reciprocity</t>
  </si>
  <si>
    <t>multiwavelength</t>
  </si>
  <si>
    <t>valuation</t>
  </si>
  <si>
    <t>comet</t>
  </si>
  <si>
    <t>landmark</t>
  </si>
  <si>
    <t>qed</t>
  </si>
  <si>
    <t>clutter</t>
  </si>
  <si>
    <t>holographic</t>
  </si>
  <si>
    <t>precipitin</t>
  </si>
  <si>
    <t>vhdl</t>
  </si>
  <si>
    <t>Self_Adaptation</t>
  </si>
  <si>
    <t>Informal_Learning</t>
  </si>
  <si>
    <t>boson</t>
  </si>
  <si>
    <t>Clinical_Guidelines</t>
  </si>
  <si>
    <t>geological</t>
  </si>
  <si>
    <t>rda</t>
  </si>
  <si>
    <t>rem</t>
  </si>
  <si>
    <t>rfc</t>
  </si>
  <si>
    <t>scope</t>
  </si>
  <si>
    <t>retail</t>
  </si>
  <si>
    <t>geopolitik</t>
  </si>
  <si>
    <t>triangulation</t>
  </si>
  <si>
    <t>Ontology_Editor</t>
  </si>
  <si>
    <t>crater</t>
  </si>
  <si>
    <t>Signal_Transduction</t>
  </si>
  <si>
    <t>interferometry</t>
  </si>
  <si>
    <t>moon</t>
  </si>
  <si>
    <t>Shared_Memory</t>
  </si>
  <si>
    <t>king</t>
  </si>
  <si>
    <t>augustus</t>
  </si>
  <si>
    <t>sct</t>
  </si>
  <si>
    <t>icon</t>
  </si>
  <si>
    <t>hebrew</t>
  </si>
  <si>
    <t>sem</t>
  </si>
  <si>
    <t>freud</t>
  </si>
  <si>
    <t>electroweak</t>
  </si>
  <si>
    <t>sme</t>
  </si>
  <si>
    <t>sos</t>
  </si>
  <si>
    <t>austerity</t>
  </si>
  <si>
    <t>triplet</t>
  </si>
  <si>
    <t>Back_Propagation</t>
  </si>
  <si>
    <t>Carbon_Dioxide</t>
  </si>
  <si>
    <t>linewidth</t>
  </si>
  <si>
    <t>fantasy</t>
  </si>
  <si>
    <t>edonkey</t>
  </si>
  <si>
    <t>famous</t>
  </si>
  <si>
    <t>ezra</t>
  </si>
  <si>
    <t>obligation</t>
  </si>
  <si>
    <t>metabolite</t>
  </si>
  <si>
    <t>Coding_Theory</t>
  </si>
  <si>
    <t>restoration</t>
  </si>
  <si>
    <t>priority</t>
  </si>
  <si>
    <t>anti</t>
  </si>
  <si>
    <t>Molecular_Biology</t>
  </si>
  <si>
    <t>paulus</t>
  </si>
  <si>
    <t>Contextual_Learning_Design</t>
  </si>
  <si>
    <t>nude</t>
  </si>
  <si>
    <t>loom</t>
  </si>
  <si>
    <t>aosd</t>
  </si>
  <si>
    <t>ifla</t>
  </si>
  <si>
    <t>vlsi</t>
  </si>
  <si>
    <t>retina</t>
  </si>
  <si>
    <t>scla</t>
  </si>
  <si>
    <t>nanotechnology</t>
  </si>
  <si>
    <t>Web_Analytics</t>
  </si>
  <si>
    <t>inertia</t>
  </si>
  <si>
    <t>vacuum</t>
  </si>
  <si>
    <t>zadar</t>
  </si>
  <si>
    <t>Relational_Databases</t>
  </si>
  <si>
    <t>migrationsforschung</t>
  </si>
  <si>
    <t>who</t>
  </si>
  <si>
    <t>cybercrime</t>
  </si>
  <si>
    <t>adenine</t>
  </si>
  <si>
    <t>platon</t>
  </si>
  <si>
    <t>wp3</t>
  </si>
  <si>
    <t>keynesianismus</t>
  </si>
  <si>
    <t>dialoguing</t>
  </si>
  <si>
    <t>announce</t>
  </si>
  <si>
    <t>chronically</t>
  </si>
  <si>
    <t>ruler</t>
  </si>
  <si>
    <t>arcomem</t>
  </si>
  <si>
    <t>C_Reactive</t>
  </si>
  <si>
    <t>onion</t>
  </si>
  <si>
    <t>smoke</t>
  </si>
  <si>
    <t>youth</t>
  </si>
  <si>
    <t>xmi</t>
  </si>
  <si>
    <t>sovereignty</t>
  </si>
  <si>
    <t>torus</t>
  </si>
  <si>
    <t>xsl</t>
  </si>
  <si>
    <t>magazine</t>
  </si>
  <si>
    <t>benzofuran</t>
  </si>
  <si>
    <t>bulk</t>
  </si>
  <si>
    <t>ritual</t>
  </si>
  <si>
    <t>coaching</t>
  </si>
  <si>
    <t>defense</t>
  </si>
  <si>
    <t>vectorization</t>
  </si>
  <si>
    <t>Bologna_Prozess</t>
  </si>
  <si>
    <t>kredit</t>
  </si>
  <si>
    <t>Web_Of_Science</t>
  </si>
  <si>
    <t>stent</t>
  </si>
  <si>
    <t>cyberspace</t>
  </si>
  <si>
    <t>evolvability</t>
  </si>
  <si>
    <t>weber</t>
  </si>
  <si>
    <t>piaget</t>
  </si>
  <si>
    <t>Object_Recognition</t>
  </si>
  <si>
    <t>Rule_Based</t>
  </si>
  <si>
    <t>religious</t>
  </si>
  <si>
    <t>rdfs</t>
  </si>
  <si>
    <t>focal</t>
  </si>
  <si>
    <t>metalanguage</t>
  </si>
  <si>
    <t>zno</t>
  </si>
  <si>
    <t>zoo</t>
  </si>
  <si>
    <t>Web_Usage_Mining</t>
  </si>
  <si>
    <t>Event_Driven</t>
  </si>
  <si>
    <t>hardt</t>
  </si>
  <si>
    <t>exotoxin</t>
  </si>
  <si>
    <t>Prospective_Studies</t>
  </si>
  <si>
    <t>Knowledge_Networks</t>
  </si>
  <si>
    <t>judaism</t>
  </si>
  <si>
    <t>Second_Language_Learning</t>
  </si>
  <si>
    <t>stereo</t>
  </si>
  <si>
    <t>plato</t>
  </si>
  <si>
    <t>sign</t>
  </si>
  <si>
    <t>Data_Structures</t>
  </si>
  <si>
    <t>eigenfunctions</t>
  </si>
  <si>
    <t>Semantic_Web_Services</t>
  </si>
  <si>
    <t>tandem</t>
  </si>
  <si>
    <t>Literature_Review</t>
  </si>
  <si>
    <t>integrationskonzept</t>
  </si>
  <si>
    <t>tempel</t>
  </si>
  <si>
    <t>intel</t>
  </si>
  <si>
    <t>neutrality</t>
  </si>
  <si>
    <t>polish</t>
  </si>
  <si>
    <t>silicate</t>
  </si>
  <si>
    <t>Query_Log</t>
  </si>
  <si>
    <t>poetry</t>
  </si>
  <si>
    <t>isomerism</t>
  </si>
  <si>
    <t>postgresql</t>
  </si>
  <si>
    <t>ripen</t>
  </si>
  <si>
    <t>Ontology_Matching</t>
  </si>
  <si>
    <t>gospel</t>
  </si>
  <si>
    <t>cryptosystem</t>
  </si>
  <si>
    <t>asteroid</t>
  </si>
  <si>
    <t>Retrospective_Studies</t>
  </si>
  <si>
    <t>Strong_Coupling</t>
  </si>
  <si>
    <t>rice</t>
  </si>
  <si>
    <t>acrylic</t>
  </si>
  <si>
    <t>permutation</t>
  </si>
  <si>
    <t>Disease_Progression</t>
  </si>
  <si>
    <t>shoulder</t>
  </si>
  <si>
    <t>multiparty</t>
  </si>
  <si>
    <t>endurance</t>
  </si>
  <si>
    <t>Organisational_Learning</t>
  </si>
  <si>
    <t>textsatz</t>
  </si>
  <si>
    <t>iswc2006</t>
  </si>
  <si>
    <t>rdbms</t>
  </si>
  <si>
    <t>japanese</t>
  </si>
  <si>
    <t>Integration_Politik</t>
  </si>
  <si>
    <t>adenocarcinoma</t>
  </si>
  <si>
    <t>calcitonin</t>
  </si>
  <si>
    <t>ipv6</t>
  </si>
  <si>
    <t>Break_Up</t>
  </si>
  <si>
    <t>Discourse_Analysis</t>
  </si>
  <si>
    <t>chirp</t>
  </si>
  <si>
    <t>multilayered</t>
  </si>
  <si>
    <t>pedagogical</t>
  </si>
  <si>
    <t>hypersensitivity</t>
  </si>
  <si>
    <t>skull</t>
  </si>
  <si>
    <t>italian</t>
  </si>
  <si>
    <t>dbis</t>
  </si>
  <si>
    <t>proximity</t>
  </si>
  <si>
    <t>assassination</t>
  </si>
  <si>
    <t>irak</t>
  </si>
  <si>
    <t>iraq</t>
  </si>
  <si>
    <t>Information_Theory</t>
  </si>
  <si>
    <t>vancomycin</t>
  </si>
  <si>
    <t>nematoda</t>
  </si>
  <si>
    <t>fine</t>
  </si>
  <si>
    <t>mypaper</t>
  </si>
  <si>
    <t>petra</t>
  </si>
  <si>
    <t>b2b</t>
  </si>
  <si>
    <t>iterate</t>
  </si>
  <si>
    <t>campaign</t>
  </si>
  <si>
    <t>isdn</t>
  </si>
  <si>
    <t>isds</t>
  </si>
  <si>
    <t>heidelberg</t>
  </si>
  <si>
    <t>typesetting</t>
  </si>
  <si>
    <t>sulfur</t>
  </si>
  <si>
    <t>waals</t>
  </si>
  <si>
    <t>aco</t>
  </si>
  <si>
    <t>Virtual_Communities</t>
  </si>
  <si>
    <t>Frequent_Itemsets</t>
  </si>
  <si>
    <t>refine</t>
  </si>
  <si>
    <t>broaden</t>
  </si>
  <si>
    <t>nano</t>
  </si>
  <si>
    <t>B_Cell</t>
  </si>
  <si>
    <t>Software_Agent</t>
  </si>
  <si>
    <t>tracer</t>
  </si>
  <si>
    <t>bad</t>
  </si>
  <si>
    <t>Solar_System</t>
  </si>
  <si>
    <t>bdd</t>
  </si>
  <si>
    <t>deer</t>
  </si>
  <si>
    <t>bid</t>
  </si>
  <si>
    <t>prophet</t>
  </si>
  <si>
    <t>biosensor</t>
  </si>
  <si>
    <t>nanostructured</t>
  </si>
  <si>
    <t>Cognitive_Development</t>
  </si>
  <si>
    <t>edutella</t>
  </si>
  <si>
    <t>enamel</t>
  </si>
  <si>
    <t>Reverse_Engineering</t>
  </si>
  <si>
    <t>javaee</t>
  </si>
  <si>
    <t>Test_Driven_Development</t>
  </si>
  <si>
    <t>easymock</t>
  </si>
  <si>
    <t>vii</t>
  </si>
  <si>
    <t>mustang</t>
  </si>
  <si>
    <t>informationsdienstleistungen</t>
  </si>
  <si>
    <t>Classification_System</t>
  </si>
  <si>
    <t>moral</t>
  </si>
  <si>
    <t>java</t>
  </si>
  <si>
    <t>jurist</t>
  </si>
  <si>
    <t>ecla</t>
  </si>
  <si>
    <t>scholastik</t>
  </si>
  <si>
    <t>wismasys0809</t>
  </si>
  <si>
    <t>Big_Science</t>
  </si>
  <si>
    <t>testng</t>
  </si>
  <si>
    <t>dns</t>
  </si>
  <si>
    <t>popularisierung</t>
  </si>
  <si>
    <t>klassifikationstheorie</t>
  </si>
  <si>
    <t>Ontology_Evaluation</t>
  </si>
  <si>
    <t>adwords</t>
  </si>
  <si>
    <t>hoppenstedt</t>
  </si>
  <si>
    <t>tisa</t>
  </si>
  <si>
    <t>Web_Architecture</t>
  </si>
  <si>
    <t>informationsbedarfsanalyse</t>
  </si>
  <si>
    <t>mockito</t>
  </si>
  <si>
    <t>Online_Advertising</t>
  </si>
  <si>
    <t>luther</t>
  </si>
  <si>
    <t>mnemonik</t>
  </si>
  <si>
    <t>synopse</t>
  </si>
  <si>
    <t>pdflatex</t>
  </si>
  <si>
    <t>societal</t>
  </si>
  <si>
    <t>Online_Shopping</t>
  </si>
  <si>
    <t>papsttum</t>
  </si>
  <si>
    <t>scglib</t>
  </si>
  <si>
    <t>Wolfgang_G_Stock</t>
  </si>
  <si>
    <t>informationsextraktion</t>
  </si>
  <si>
    <t>kartografie</t>
  </si>
  <si>
    <t>Web_Resource</t>
  </si>
  <si>
    <t>illiteracy</t>
  </si>
  <si>
    <t>Citation_Indexing</t>
  </si>
  <si>
    <t>Spring_Security</t>
  </si>
  <si>
    <t>bart</t>
  </si>
  <si>
    <t>Bradford's_Law</t>
  </si>
  <si>
    <t>Matthew_Effect</t>
  </si>
  <si>
    <t>zdf</t>
  </si>
  <si>
    <t>jsp</t>
  </si>
  <si>
    <t>diagnose</t>
  </si>
  <si>
    <t>E_Shopping</t>
  </si>
  <si>
    <t>informationszeitalter</t>
  </si>
  <si>
    <t>pandoc</t>
  </si>
  <si>
    <t>conf</t>
  </si>
  <si>
    <t>dokumente</t>
  </si>
  <si>
    <t>inkunabeln</t>
  </si>
  <si>
    <t>weller</t>
  </si>
  <si>
    <t>prosopographie</t>
  </si>
  <si>
    <t>genfood</t>
  </si>
  <si>
    <t>internetresearch</t>
  </si>
  <si>
    <t>mamu</t>
  </si>
  <si>
    <t>tafta</t>
  </si>
  <si>
    <t>contentdm</t>
  </si>
  <si>
    <t>informetrie</t>
  </si>
  <si>
    <t>relationen</t>
  </si>
  <si>
    <t>earl</t>
  </si>
  <si>
    <t>Chemical_Abstracts</t>
  </si>
  <si>
    <t>vagueness</t>
  </si>
  <si>
    <t>nicholas</t>
  </si>
  <si>
    <t>netbib</t>
  </si>
  <si>
    <t>galen</t>
  </si>
  <si>
    <t>persepolis</t>
  </si>
  <si>
    <t>Neuro_Philosophie</t>
  </si>
  <si>
    <t>Web_Impact_Factor</t>
  </si>
  <si>
    <t>Citation_Analysis</t>
  </si>
  <si>
    <t>sociological</t>
  </si>
  <si>
    <t>satire</t>
  </si>
  <si>
    <t>poetik</t>
  </si>
  <si>
    <t>ard</t>
  </si>
  <si>
    <t>transcriptome</t>
  </si>
  <si>
    <t>tud</t>
  </si>
  <si>
    <t>marius</t>
  </si>
  <si>
    <t>medlar</t>
  </si>
  <si>
    <t>butler</t>
  </si>
  <si>
    <t>Business_Information</t>
  </si>
  <si>
    <t>exam</t>
  </si>
  <si>
    <t>mahara</t>
  </si>
  <si>
    <t>educator</t>
  </si>
  <si>
    <t>dutch</t>
  </si>
  <si>
    <t>crossfire</t>
  </si>
  <si>
    <t>binder</t>
  </si>
  <si>
    <t>Google_Earth</t>
  </si>
  <si>
    <t>textual</t>
  </si>
  <si>
    <t>Identity_Crisis</t>
  </si>
  <si>
    <t>Small_World_Networks</t>
  </si>
  <si>
    <t>weinberg</t>
  </si>
  <si>
    <t>semtech</t>
  </si>
  <si>
    <t>ecore</t>
  </si>
  <si>
    <t>meer</t>
  </si>
  <si>
    <t>lucas</t>
  </si>
  <si>
    <t>computergraphik</t>
  </si>
  <si>
    <t>train</t>
  </si>
  <si>
    <t>gedachtnis</t>
  </si>
  <si>
    <t>E_Payment</t>
  </si>
  <si>
    <t>feminism</t>
  </si>
  <si>
    <t>peter</t>
  </si>
  <si>
    <t>balkan</t>
  </si>
  <si>
    <t>nt</t>
  </si>
  <si>
    <t>vannevar</t>
  </si>
  <si>
    <t>settlement</t>
  </si>
  <si>
    <t>ee</t>
  </si>
  <si>
    <t>oregon</t>
  </si>
  <si>
    <t>Co_Authorship</t>
  </si>
  <si>
    <t>Semantic_Technologies</t>
  </si>
  <si>
    <t>rbc</t>
  </si>
  <si>
    <t>bibliographics</t>
  </si>
  <si>
    <t>homomorphic</t>
  </si>
  <si>
    <t>snomed</t>
  </si>
  <si>
    <t>albania</t>
  </si>
  <si>
    <t>opportunity</t>
  </si>
  <si>
    <t>protest</t>
  </si>
  <si>
    <t>Digital_Signatures</t>
  </si>
  <si>
    <t>queer</t>
  </si>
  <si>
    <t>reification</t>
  </si>
  <si>
    <t>diff</t>
  </si>
  <si>
    <t>ldap</t>
  </si>
  <si>
    <t>founder</t>
  </si>
  <si>
    <t>javadoc</t>
  </si>
  <si>
    <t>jenkins</t>
  </si>
  <si>
    <t>james</t>
  </si>
  <si>
    <t>luhn</t>
  </si>
  <si>
    <t>mockup</t>
  </si>
  <si>
    <t>pln</t>
  </si>
  <si>
    <t>junit</t>
  </si>
  <si>
    <t>semiotik</t>
  </si>
  <si>
    <t>passport</t>
  </si>
  <si>
    <t>oai</t>
  </si>
  <si>
    <t>timer</t>
  </si>
  <si>
    <t>Semantic_Relations</t>
  </si>
  <si>
    <t>sexuality</t>
  </si>
  <si>
    <t>career</t>
  </si>
  <si>
    <t>lsb</t>
  </si>
  <si>
    <t>geodata</t>
  </si>
  <si>
    <t>rml</t>
  </si>
  <si>
    <t>Task_Based</t>
  </si>
  <si>
    <t>slow</t>
  </si>
  <si>
    <t>boston</t>
  </si>
  <si>
    <t>kids</t>
  </si>
  <si>
    <t>blue</t>
  </si>
  <si>
    <t>saw</t>
  </si>
  <si>
    <t>chat</t>
  </si>
  <si>
    <t>mentor</t>
  </si>
  <si>
    <t>authorship</t>
  </si>
  <si>
    <t>two</t>
  </si>
  <si>
    <t>hr</t>
  </si>
  <si>
    <t>if</t>
  </si>
  <si>
    <t>police</t>
  </si>
  <si>
    <t>quantification</t>
  </si>
  <si>
    <t>start</t>
  </si>
  <si>
    <t>22</t>
  </si>
  <si>
    <t>2000</t>
  </si>
  <si>
    <t>recall</t>
  </si>
  <si>
    <t>count of outliers</t>
  </si>
  <si>
    <t>precision</t>
  </si>
  <si>
    <t>f-measure</t>
  </si>
  <si>
    <t>k-means series</t>
  </si>
  <si>
    <t>AHC series</t>
  </si>
  <si>
    <t>GMM series</t>
  </si>
  <si>
    <t xml:space="preserve">size of output </t>
  </si>
  <si>
    <t>AHC-1500</t>
  </si>
  <si>
    <t>AHC-2000</t>
  </si>
  <si>
    <t>AHC-IC-dep-2-99.9%</t>
  </si>
  <si>
    <t>AHC-IC-dep-10-95%</t>
  </si>
  <si>
    <t>AHC-IC-dep-10-68%</t>
  </si>
  <si>
    <t>K-means-1000-ARCD+RCD</t>
  </si>
  <si>
    <t>K-means-1000-ARCD+SC</t>
  </si>
  <si>
    <t>K-means-1000-ASC+RCD</t>
  </si>
  <si>
    <t>K-means-1000-ASC+SC</t>
  </si>
  <si>
    <t>K-means-1500-ARCD+RCD</t>
  </si>
  <si>
    <t>K-means-1500-ARCD+SC</t>
  </si>
  <si>
    <t>K-means-1500-ASC+RCD</t>
  </si>
  <si>
    <t>K-means-1500-ASC+SC</t>
  </si>
  <si>
    <t>MGMM-250-FullCov-r0.001-Kmeans++</t>
  </si>
  <si>
    <t>MGMM-500-FullCov-r0.01-randomIni</t>
  </si>
  <si>
    <t>final1: 3 marks as outliers out of 5 experts</t>
  </si>
  <si>
    <t>final2: 4 marks as outliers out of 5 experts</t>
  </si>
  <si>
    <t>K-means</t>
  </si>
  <si>
    <t>Evaluation by Participant 1</t>
  </si>
  <si>
    <t>Evaluation by Participant 2</t>
  </si>
  <si>
    <t>Evaluation by Participant 3</t>
  </si>
  <si>
    <t>Evaluation by Participant 4</t>
  </si>
  <si>
    <t>Evaluation by Participant 5</t>
  </si>
  <si>
    <t>MGMM</t>
  </si>
  <si>
    <t>final1: No less than 3 participants</t>
  </si>
  <si>
    <t>final2: No less than 4 participants</t>
  </si>
  <si>
    <t>HE + final1 + final2</t>
  </si>
  <si>
    <t>distinct candidate outliers from the 15 techniques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</si>
</sst>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3" fillId="0" borderId="0" xfId="0" applyFont="1" applyBorder="1"/>
    <xf numFmtId="0" fontId="0" fillId="0" borderId="1" xfId="0" applyBorder="1"/>
    <xf numFmtId="0" fontId="1" fillId="0" borderId="0" xfId="0" applyFont="1"/>
    <xf numFmtId="49" fontId="0" fillId="0" borderId="1" xfId="0" applyNumberFormat="1" applyBorder="1"/>
    <xf numFmtId="0" fontId="0" fillId="0" borderId="2" xfId="0" applyBorder="1"/>
    <xf numFmtId="0" fontId="1" fillId="0" borderId="2" xfId="0" applyFont="1" applyBorder="1"/>
    <xf numFmtId="0" fontId="0" fillId="0" borderId="3" xfId="0" applyBorder="1"/>
    <xf numFmtId="0" fontId="0" fillId="0" borderId="4" xfId="0" applyBorder="1"/>
    <xf numFmtId="10" fontId="0" fillId="0" borderId="4" xfId="0" applyNumberFormat="1" applyBorder="1"/>
    <xf numFmtId="10" fontId="1" fillId="0" borderId="4" xfId="0" applyNumberFormat="1" applyFont="1" applyBorder="1"/>
    <xf numFmtId="0" fontId="0" fillId="0" borderId="4" xfId="0" applyFont="1" applyBorder="1"/>
    <xf numFmtId="0" fontId="0" fillId="0" borderId="4" xfId="0" applyFont="1" applyBorder="1" applyAlignment="1">
      <alignment wrapText="1"/>
    </xf>
    <xf numFmtId="0" fontId="1" fillId="0" borderId="4" xfId="0" applyFont="1" applyBorder="1"/>
    <xf numFmtId="0" fontId="1" fillId="0" borderId="4" xfId="0" applyFont="1" applyBorder="1" applyAlignment="1">
      <alignment wrapText="1"/>
    </xf>
    <xf numFmtId="0" fontId="1" fillId="0" borderId="0" xfId="0" applyFont="1" applyBorder="1"/>
    <xf numFmtId="0" fontId="1" fillId="0" borderId="0" xfId="0" applyFont="1" applyBorder="1" applyAlignment="1">
      <alignment wrapText="1"/>
    </xf>
    <xf numFmtId="0" fontId="1" fillId="0" borderId="0" xfId="0" applyFont="1" applyFill="1" applyBorder="1"/>
    <xf numFmtId="0" fontId="1" fillId="0" borderId="1" xfId="0" applyFont="1" applyBorder="1"/>
    <xf numFmtId="0" fontId="2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788"/>
  <sheetViews>
    <sheetView tabSelected="1" topLeftCell="O1" zoomScale="85" zoomScaleNormal="85" workbookViewId="0">
      <selection activeCell="T19" sqref="T19"/>
    </sheetView>
  </sheetViews>
  <sheetFormatPr defaultColWidth="9.125" defaultRowHeight="15" x14ac:dyDescent="0.25"/>
  <cols>
    <col min="1" max="8" width="20.75" style="1" customWidth="1"/>
    <col min="9" max="9" width="15.625" style="4" bestFit="1" customWidth="1"/>
    <col min="10" max="10" width="16" style="1" bestFit="1" customWidth="1"/>
    <col min="11" max="13" width="20.75" style="1" customWidth="1"/>
    <col min="14" max="14" width="31.875" style="4" bestFit="1" customWidth="1"/>
    <col min="15" max="15" width="38.875" style="1" bestFit="1" customWidth="1"/>
    <col min="16" max="16" width="28.375" style="4" customWidth="1"/>
    <col min="17" max="17" width="23.375" style="4" bestFit="1" customWidth="1"/>
    <col min="18" max="18" width="23.375" style="1" bestFit="1" customWidth="1"/>
    <col min="19" max="21" width="21.75" style="1" bestFit="1" customWidth="1"/>
    <col min="22" max="22" width="34" style="4" bestFit="1" customWidth="1"/>
    <col min="23" max="23" width="34" style="1" bestFit="1" customWidth="1"/>
    <col min="24" max="16384" width="9.125" style="1"/>
  </cols>
  <sheetData>
    <row r="1" spans="1:23" s="3" customFormat="1" ht="28.5" customHeight="1" x14ac:dyDescent="0.35">
      <c r="A1" s="21" t="s">
        <v>812</v>
      </c>
      <c r="B1" s="21"/>
      <c r="C1" s="21"/>
      <c r="D1" s="21"/>
      <c r="E1" s="21"/>
      <c r="F1" s="21"/>
      <c r="G1" s="21"/>
      <c r="H1" s="21"/>
      <c r="I1" s="21" t="s">
        <v>251</v>
      </c>
      <c r="J1" s="21"/>
      <c r="K1" s="21"/>
      <c r="L1" s="21"/>
      <c r="M1" s="21"/>
      <c r="N1" s="21" t="s">
        <v>818</v>
      </c>
      <c r="O1" s="21"/>
      <c r="P1" s="22" t="s">
        <v>822</v>
      </c>
      <c r="Q1" s="21" t="s">
        <v>821</v>
      </c>
      <c r="R1" s="21"/>
      <c r="S1" s="21"/>
      <c r="T1" s="21"/>
      <c r="U1" s="21"/>
      <c r="V1" s="21"/>
      <c r="W1" s="21"/>
    </row>
    <row r="2" spans="1:23" ht="15" customHeight="1" x14ac:dyDescent="0.25">
      <c r="A2" s="17" t="s">
        <v>800</v>
      </c>
      <c r="B2" s="17" t="s">
        <v>801</v>
      </c>
      <c r="C2" s="17" t="s">
        <v>802</v>
      </c>
      <c r="D2" s="17" t="s">
        <v>803</v>
      </c>
      <c r="E2" s="17" t="s">
        <v>804</v>
      </c>
      <c r="F2" s="17" t="s">
        <v>805</v>
      </c>
      <c r="G2" s="17" t="s">
        <v>806</v>
      </c>
      <c r="H2" s="17" t="s">
        <v>807</v>
      </c>
      <c r="I2" s="17" t="s">
        <v>795</v>
      </c>
      <c r="J2" s="17" t="s">
        <v>796</v>
      </c>
      <c r="K2" s="17" t="s">
        <v>797</v>
      </c>
      <c r="L2" s="17" t="s">
        <v>798</v>
      </c>
      <c r="M2" s="17" t="s">
        <v>799</v>
      </c>
      <c r="N2" s="17" t="s">
        <v>808</v>
      </c>
      <c r="O2" s="18" t="s">
        <v>809</v>
      </c>
      <c r="P2" s="22"/>
      <c r="Q2" s="20" t="s">
        <v>813</v>
      </c>
      <c r="R2" s="17" t="s">
        <v>814</v>
      </c>
      <c r="S2" s="17" t="s">
        <v>815</v>
      </c>
      <c r="T2" s="17" t="s">
        <v>816</v>
      </c>
      <c r="U2" s="17" t="s">
        <v>817</v>
      </c>
      <c r="V2" s="19" t="s">
        <v>810</v>
      </c>
      <c r="W2" s="19" t="s">
        <v>811</v>
      </c>
    </row>
    <row r="3" spans="1:23" x14ac:dyDescent="0.25">
      <c r="A3" s="2" t="s">
        <v>0</v>
      </c>
      <c r="B3" s="2" t="s">
        <v>1</v>
      </c>
      <c r="C3" s="2" t="s">
        <v>0</v>
      </c>
      <c r="D3" s="2" t="s">
        <v>1</v>
      </c>
      <c r="E3" s="2" t="s">
        <v>71</v>
      </c>
      <c r="F3" s="2" t="s">
        <v>92</v>
      </c>
      <c r="G3" s="2" t="s">
        <v>71</v>
      </c>
      <c r="H3" s="2" t="s">
        <v>92</v>
      </c>
      <c r="I3" s="4" t="s">
        <v>143</v>
      </c>
      <c r="J3" s="1" t="s">
        <v>152</v>
      </c>
      <c r="K3" s="1" t="s">
        <v>176</v>
      </c>
      <c r="L3" s="1" t="s">
        <v>242</v>
      </c>
      <c r="M3" s="1" t="s">
        <v>629</v>
      </c>
      <c r="N3" s="4" t="s">
        <v>252</v>
      </c>
      <c r="O3" s="1" t="s">
        <v>274</v>
      </c>
      <c r="P3" s="6" t="s">
        <v>0</v>
      </c>
      <c r="Q3" s="6" t="s">
        <v>214</v>
      </c>
      <c r="R3" s="2" t="s">
        <v>214</v>
      </c>
      <c r="S3" s="2" t="s">
        <v>214</v>
      </c>
      <c r="T3" s="2" t="s">
        <v>214</v>
      </c>
      <c r="U3" s="2" t="s">
        <v>275</v>
      </c>
      <c r="V3" s="6" t="s">
        <v>214</v>
      </c>
      <c r="W3" s="2" t="s">
        <v>214</v>
      </c>
    </row>
    <row r="4" spans="1:23" x14ac:dyDescent="0.25">
      <c r="A4" s="2" t="s">
        <v>1</v>
      </c>
      <c r="B4" s="2" t="s">
        <v>4</v>
      </c>
      <c r="C4" s="2" t="s">
        <v>1</v>
      </c>
      <c r="D4" s="2" t="s">
        <v>58</v>
      </c>
      <c r="E4" s="2" t="s">
        <v>72</v>
      </c>
      <c r="F4" s="2" t="s">
        <v>73</v>
      </c>
      <c r="G4" s="2" t="s">
        <v>72</v>
      </c>
      <c r="H4" s="2" t="s">
        <v>41</v>
      </c>
      <c r="I4" s="4" t="s">
        <v>82</v>
      </c>
      <c r="J4" s="1" t="s">
        <v>153</v>
      </c>
      <c r="K4" s="1" t="s">
        <v>177</v>
      </c>
      <c r="L4" s="1" t="s">
        <v>243</v>
      </c>
      <c r="M4" s="1" t="s">
        <v>630</v>
      </c>
      <c r="N4" s="4" t="s">
        <v>253</v>
      </c>
      <c r="O4" s="1" t="s">
        <v>275</v>
      </c>
      <c r="P4" s="6" t="s">
        <v>1</v>
      </c>
      <c r="Q4" s="6" t="s">
        <v>275</v>
      </c>
      <c r="R4" s="2" t="s">
        <v>275</v>
      </c>
      <c r="S4" s="2" t="s">
        <v>275</v>
      </c>
      <c r="T4" s="2" t="s">
        <v>275</v>
      </c>
      <c r="U4" s="2" t="s">
        <v>656</v>
      </c>
      <c r="V4" s="6" t="s">
        <v>275</v>
      </c>
      <c r="W4" s="2" t="s">
        <v>275</v>
      </c>
    </row>
    <row r="5" spans="1:23" x14ac:dyDescent="0.25">
      <c r="A5" s="2" t="s">
        <v>2</v>
      </c>
      <c r="B5" s="2" t="s">
        <v>26</v>
      </c>
      <c r="C5" s="2" t="s">
        <v>2</v>
      </c>
      <c r="D5" s="2" t="s">
        <v>59</v>
      </c>
      <c r="E5" s="2" t="s">
        <v>73</v>
      </c>
      <c r="F5" s="2" t="s">
        <v>93</v>
      </c>
      <c r="G5" s="2" t="s">
        <v>74</v>
      </c>
      <c r="H5" s="2" t="s">
        <v>93</v>
      </c>
      <c r="I5" s="4" t="s">
        <v>81</v>
      </c>
      <c r="J5" s="1" t="s">
        <v>154</v>
      </c>
      <c r="K5" s="1" t="s">
        <v>178</v>
      </c>
      <c r="L5" s="1" t="s">
        <v>244</v>
      </c>
      <c r="M5" s="1" t="s">
        <v>631</v>
      </c>
      <c r="N5" s="4" t="s">
        <v>254</v>
      </c>
      <c r="O5" s="1" t="s">
        <v>276</v>
      </c>
      <c r="P5" s="6" t="s">
        <v>2</v>
      </c>
      <c r="Q5" s="6" t="s">
        <v>656</v>
      </c>
      <c r="R5" s="2" t="s">
        <v>277</v>
      </c>
      <c r="S5" s="2" t="s">
        <v>689</v>
      </c>
      <c r="T5" s="2" t="s">
        <v>656</v>
      </c>
      <c r="U5" s="2" t="s">
        <v>276</v>
      </c>
      <c r="V5" s="6" t="s">
        <v>656</v>
      </c>
      <c r="W5" s="2" t="s">
        <v>277</v>
      </c>
    </row>
    <row r="6" spans="1:23" x14ac:dyDescent="0.25">
      <c r="A6" s="2" t="s">
        <v>3</v>
      </c>
      <c r="B6" s="2" t="s">
        <v>5</v>
      </c>
      <c r="C6" s="2" t="s">
        <v>3</v>
      </c>
      <c r="D6" s="2" t="s">
        <v>60</v>
      </c>
      <c r="E6" s="2" t="s">
        <v>74</v>
      </c>
      <c r="F6" s="2" t="s">
        <v>77</v>
      </c>
      <c r="G6" s="2" t="s">
        <v>75</v>
      </c>
      <c r="H6" s="2" t="s">
        <v>77</v>
      </c>
      <c r="I6" s="6">
        <v>2000</v>
      </c>
      <c r="J6" s="1" t="s">
        <v>155</v>
      </c>
      <c r="K6" s="1" t="s">
        <v>179</v>
      </c>
      <c r="L6" s="1" t="s">
        <v>245</v>
      </c>
      <c r="M6" s="1" t="s">
        <v>632</v>
      </c>
      <c r="N6" s="4" t="s">
        <v>255</v>
      </c>
      <c r="O6" s="1" t="s">
        <v>277</v>
      </c>
      <c r="P6" s="6" t="s">
        <v>3</v>
      </c>
      <c r="Q6" s="6" t="s">
        <v>277</v>
      </c>
      <c r="R6" s="2" t="s">
        <v>689</v>
      </c>
      <c r="S6" s="2" t="s">
        <v>282</v>
      </c>
      <c r="T6" s="2" t="s">
        <v>276</v>
      </c>
      <c r="U6" s="2" t="s">
        <v>277</v>
      </c>
      <c r="V6" s="6" t="s">
        <v>277</v>
      </c>
      <c r="W6" s="2" t="s">
        <v>689</v>
      </c>
    </row>
    <row r="7" spans="1:23" x14ac:dyDescent="0.25">
      <c r="A7" s="2" t="s">
        <v>4</v>
      </c>
      <c r="B7" s="2" t="s">
        <v>7</v>
      </c>
      <c r="C7" s="2" t="s">
        <v>40</v>
      </c>
      <c r="D7" s="2" t="s">
        <v>41</v>
      </c>
      <c r="E7" s="2" t="s">
        <v>75</v>
      </c>
      <c r="F7" s="2" t="s">
        <v>79</v>
      </c>
      <c r="G7" s="2" t="s">
        <v>109</v>
      </c>
      <c r="H7" s="2" t="s">
        <v>79</v>
      </c>
      <c r="I7" s="4" t="s">
        <v>144</v>
      </c>
      <c r="J7" s="1" t="s">
        <v>156</v>
      </c>
      <c r="K7" s="1" t="s">
        <v>180</v>
      </c>
      <c r="L7" s="1" t="s">
        <v>246</v>
      </c>
      <c r="M7" s="1" t="s">
        <v>633</v>
      </c>
      <c r="N7" s="6">
        <v>22</v>
      </c>
      <c r="O7" s="1" t="s">
        <v>278</v>
      </c>
      <c r="P7" s="6" t="s">
        <v>4</v>
      </c>
      <c r="Q7" s="6" t="s">
        <v>143</v>
      </c>
      <c r="R7" s="2" t="s">
        <v>282</v>
      </c>
      <c r="S7" s="2" t="s">
        <v>286</v>
      </c>
      <c r="T7" s="2" t="s">
        <v>277</v>
      </c>
      <c r="U7" s="2" t="s">
        <v>227</v>
      </c>
      <c r="V7" s="6" t="s">
        <v>689</v>
      </c>
      <c r="W7" s="2" t="s">
        <v>286</v>
      </c>
    </row>
    <row r="8" spans="1:23" x14ac:dyDescent="0.25">
      <c r="A8" s="2" t="s">
        <v>5</v>
      </c>
      <c r="B8" s="2" t="s">
        <v>9</v>
      </c>
      <c r="C8" s="2" t="s">
        <v>41</v>
      </c>
      <c r="D8" s="2" t="s">
        <v>61</v>
      </c>
      <c r="E8" s="2" t="s">
        <v>76</v>
      </c>
      <c r="F8" s="2" t="s">
        <v>94</v>
      </c>
      <c r="G8" s="2" t="s">
        <v>76</v>
      </c>
      <c r="H8" s="2" t="s">
        <v>94</v>
      </c>
      <c r="I8" s="4" t="s">
        <v>145</v>
      </c>
      <c r="J8" s="1" t="s">
        <v>157</v>
      </c>
      <c r="K8" s="1" t="s">
        <v>181</v>
      </c>
      <c r="L8" s="1" t="s">
        <v>247</v>
      </c>
      <c r="M8" s="1" t="s">
        <v>634</v>
      </c>
      <c r="N8" s="4" t="s">
        <v>256</v>
      </c>
      <c r="O8" s="1" t="s">
        <v>279</v>
      </c>
      <c r="P8" s="6" t="s">
        <v>5</v>
      </c>
      <c r="Q8" s="6" t="s">
        <v>689</v>
      </c>
      <c r="R8" s="2" t="s">
        <v>286</v>
      </c>
      <c r="S8" s="2" t="s">
        <v>185</v>
      </c>
      <c r="T8" s="2" t="s">
        <v>227</v>
      </c>
      <c r="U8" s="2" t="s">
        <v>689</v>
      </c>
      <c r="V8" s="6" t="s">
        <v>282</v>
      </c>
      <c r="W8" s="2" t="s">
        <v>253</v>
      </c>
    </row>
    <row r="9" spans="1:23" x14ac:dyDescent="0.25">
      <c r="A9" s="2" t="s">
        <v>6</v>
      </c>
      <c r="B9" s="2" t="s">
        <v>11</v>
      </c>
      <c r="C9" s="2" t="s">
        <v>42</v>
      </c>
      <c r="D9" s="2" t="s">
        <v>44</v>
      </c>
      <c r="E9" s="2" t="s">
        <v>77</v>
      </c>
      <c r="F9" s="2" t="s">
        <v>95</v>
      </c>
      <c r="G9" s="2" t="s">
        <v>77</v>
      </c>
      <c r="H9" s="2" t="s">
        <v>95</v>
      </c>
      <c r="I9" s="4" t="s">
        <v>146</v>
      </c>
      <c r="J9" s="1" t="s">
        <v>158</v>
      </c>
      <c r="K9" s="1" t="s">
        <v>182</v>
      </c>
      <c r="L9" s="1" t="s">
        <v>248</v>
      </c>
      <c r="M9" s="1" t="s">
        <v>635</v>
      </c>
      <c r="N9" s="4" t="s">
        <v>257</v>
      </c>
      <c r="O9" s="1" t="s">
        <v>280</v>
      </c>
      <c r="P9" s="6" t="s">
        <v>6</v>
      </c>
      <c r="Q9" s="6" t="s">
        <v>253</v>
      </c>
      <c r="R9" s="2" t="s">
        <v>253</v>
      </c>
      <c r="S9" s="2" t="s">
        <v>254</v>
      </c>
      <c r="T9" s="2" t="s">
        <v>143</v>
      </c>
      <c r="U9" s="2" t="s">
        <v>285</v>
      </c>
      <c r="V9" s="6" t="s">
        <v>286</v>
      </c>
      <c r="W9" s="2" t="s">
        <v>288</v>
      </c>
    </row>
    <row r="10" spans="1:23" x14ac:dyDescent="0.25">
      <c r="A10" s="2" t="s">
        <v>7</v>
      </c>
      <c r="B10" s="2" t="s">
        <v>14</v>
      </c>
      <c r="C10" s="2" t="s">
        <v>43</v>
      </c>
      <c r="D10" s="2" t="s">
        <v>4</v>
      </c>
      <c r="E10" s="2" t="s">
        <v>78</v>
      </c>
      <c r="F10" s="2" t="s">
        <v>86</v>
      </c>
      <c r="G10" s="2" t="s">
        <v>110</v>
      </c>
      <c r="H10" s="2" t="s">
        <v>115</v>
      </c>
      <c r="I10" s="4" t="s">
        <v>18</v>
      </c>
      <c r="J10" s="1" t="s">
        <v>159</v>
      </c>
      <c r="K10" s="1" t="s">
        <v>183</v>
      </c>
      <c r="L10" s="1" t="s">
        <v>249</v>
      </c>
      <c r="M10" s="1" t="s">
        <v>258</v>
      </c>
      <c r="N10" s="4" t="s">
        <v>258</v>
      </c>
      <c r="O10" s="1" t="s">
        <v>281</v>
      </c>
      <c r="P10" s="6" t="s">
        <v>7</v>
      </c>
      <c r="Q10" s="6" t="s">
        <v>288</v>
      </c>
      <c r="R10" s="2" t="s">
        <v>288</v>
      </c>
      <c r="S10" s="2" t="s">
        <v>288</v>
      </c>
      <c r="T10" s="2" t="s">
        <v>689</v>
      </c>
      <c r="U10" s="2" t="s">
        <v>286</v>
      </c>
      <c r="V10" s="6" t="s">
        <v>253</v>
      </c>
      <c r="W10" s="2" t="s">
        <v>292</v>
      </c>
    </row>
    <row r="11" spans="1:23" x14ac:dyDescent="0.25">
      <c r="A11" s="2" t="s">
        <v>8</v>
      </c>
      <c r="B11" s="2" t="s">
        <v>16</v>
      </c>
      <c r="C11" s="2" t="s">
        <v>44</v>
      </c>
      <c r="D11" s="2" t="s">
        <v>11</v>
      </c>
      <c r="E11" s="2" t="s">
        <v>79</v>
      </c>
      <c r="F11" s="2" t="s">
        <v>96</v>
      </c>
      <c r="G11" s="2" t="s">
        <v>78</v>
      </c>
      <c r="H11" s="2" t="s">
        <v>129</v>
      </c>
      <c r="I11" s="4" t="s">
        <v>79</v>
      </c>
      <c r="J11" s="1" t="s">
        <v>160</v>
      </c>
      <c r="K11" s="1" t="s">
        <v>184</v>
      </c>
      <c r="L11" s="1" t="s">
        <v>250</v>
      </c>
      <c r="M11" s="1" t="s">
        <v>636</v>
      </c>
      <c r="N11" s="4" t="s">
        <v>259</v>
      </c>
      <c r="O11" s="1" t="s">
        <v>282</v>
      </c>
      <c r="P11" s="6" t="s">
        <v>8</v>
      </c>
      <c r="Q11" s="6" t="s">
        <v>292</v>
      </c>
      <c r="R11" s="2" t="s">
        <v>289</v>
      </c>
      <c r="S11" s="2" t="s">
        <v>289</v>
      </c>
      <c r="T11" s="2" t="s">
        <v>763</v>
      </c>
      <c r="U11" s="2" t="s">
        <v>253</v>
      </c>
      <c r="V11" s="6" t="s">
        <v>288</v>
      </c>
      <c r="W11" s="2" t="s">
        <v>686</v>
      </c>
    </row>
    <row r="12" spans="1:23" x14ac:dyDescent="0.25">
      <c r="A12" s="2" t="s">
        <v>9</v>
      </c>
      <c r="B12" s="2" t="s">
        <v>27</v>
      </c>
      <c r="C12" s="2" t="s">
        <v>4</v>
      </c>
      <c r="D12" s="2" t="s">
        <v>47</v>
      </c>
      <c r="E12" s="2" t="s">
        <v>80</v>
      </c>
      <c r="F12" s="2" t="s">
        <v>97</v>
      </c>
      <c r="G12" s="2" t="s">
        <v>79</v>
      </c>
      <c r="H12" s="2" t="s">
        <v>96</v>
      </c>
      <c r="I12" s="4" t="s">
        <v>147</v>
      </c>
      <c r="J12" s="1" t="s">
        <v>161</v>
      </c>
      <c r="K12" s="1" t="s">
        <v>185</v>
      </c>
      <c r="L12" s="1" t="s">
        <v>4</v>
      </c>
      <c r="M12" s="1" t="s">
        <v>637</v>
      </c>
      <c r="N12" s="4" t="s">
        <v>260</v>
      </c>
      <c r="O12" s="1" t="s">
        <v>283</v>
      </c>
      <c r="P12" s="6" t="s">
        <v>9</v>
      </c>
      <c r="Q12" s="6" t="s">
        <v>255</v>
      </c>
      <c r="R12" s="2" t="s">
        <v>292</v>
      </c>
      <c r="S12" s="2" t="s">
        <v>292</v>
      </c>
      <c r="T12" s="2" t="s">
        <v>280</v>
      </c>
      <c r="U12" s="2" t="s">
        <v>288</v>
      </c>
      <c r="V12" s="6" t="s">
        <v>292</v>
      </c>
      <c r="W12" s="2" t="s">
        <v>785</v>
      </c>
    </row>
    <row r="13" spans="1:23" x14ac:dyDescent="0.25">
      <c r="A13" s="2" t="s">
        <v>10</v>
      </c>
      <c r="B13" s="2" t="s">
        <v>18</v>
      </c>
      <c r="C13" s="2" t="s">
        <v>45</v>
      </c>
      <c r="D13" s="2" t="s">
        <v>14</v>
      </c>
      <c r="E13" s="2" t="s">
        <v>81</v>
      </c>
      <c r="F13" s="2" t="s">
        <v>98</v>
      </c>
      <c r="G13" s="2" t="s">
        <v>80</v>
      </c>
      <c r="H13" s="2" t="s">
        <v>97</v>
      </c>
      <c r="I13" s="4" t="s">
        <v>148</v>
      </c>
      <c r="J13" s="1" t="s">
        <v>12</v>
      </c>
      <c r="K13" s="1" t="s">
        <v>186</v>
      </c>
      <c r="L13" s="1" t="s">
        <v>150</v>
      </c>
      <c r="M13" s="1" t="s">
        <v>638</v>
      </c>
      <c r="N13" s="4" t="s">
        <v>261</v>
      </c>
      <c r="O13" s="1" t="s">
        <v>252</v>
      </c>
      <c r="P13" s="6" t="s">
        <v>10</v>
      </c>
      <c r="Q13" s="6" t="s">
        <v>785</v>
      </c>
      <c r="R13" s="2" t="s">
        <v>686</v>
      </c>
      <c r="S13" s="2" t="s">
        <v>686</v>
      </c>
      <c r="T13" s="2" t="s">
        <v>281</v>
      </c>
      <c r="U13" s="2" t="s">
        <v>292</v>
      </c>
      <c r="V13" s="6" t="s">
        <v>686</v>
      </c>
      <c r="W13" s="2" t="s">
        <v>690</v>
      </c>
    </row>
    <row r="14" spans="1:23" x14ac:dyDescent="0.25">
      <c r="A14" s="2" t="s">
        <v>11</v>
      </c>
      <c r="B14" s="2" t="s">
        <v>28</v>
      </c>
      <c r="C14" s="2" t="s">
        <v>46</v>
      </c>
      <c r="D14" s="2" t="s">
        <v>16</v>
      </c>
      <c r="E14" s="2" t="s">
        <v>82</v>
      </c>
      <c r="F14" s="2" t="s">
        <v>99</v>
      </c>
      <c r="G14" s="2" t="s">
        <v>81</v>
      </c>
      <c r="H14" s="2" t="s">
        <v>98</v>
      </c>
      <c r="I14" s="4" t="s">
        <v>149</v>
      </c>
      <c r="J14" s="1" t="s">
        <v>162</v>
      </c>
      <c r="K14" s="1" t="s">
        <v>187</v>
      </c>
      <c r="L14" s="1" t="s">
        <v>71</v>
      </c>
      <c r="M14" s="1" t="s">
        <v>639</v>
      </c>
      <c r="N14" s="4" t="s">
        <v>262</v>
      </c>
      <c r="O14" s="1" t="s">
        <v>284</v>
      </c>
      <c r="P14" s="6" t="s">
        <v>11</v>
      </c>
      <c r="Q14" s="6" t="s">
        <v>690</v>
      </c>
      <c r="R14" s="2" t="s">
        <v>785</v>
      </c>
      <c r="S14" s="2" t="s">
        <v>785</v>
      </c>
      <c r="T14" s="2" t="s">
        <v>282</v>
      </c>
      <c r="U14" s="2" t="s">
        <v>686</v>
      </c>
      <c r="V14" s="6" t="s">
        <v>785</v>
      </c>
      <c r="W14" s="2" t="s">
        <v>641</v>
      </c>
    </row>
    <row r="15" spans="1:23" x14ac:dyDescent="0.25">
      <c r="A15" s="2" t="s">
        <v>12</v>
      </c>
      <c r="B15" s="2" t="s">
        <v>29</v>
      </c>
      <c r="C15" s="2" t="s">
        <v>8</v>
      </c>
      <c r="D15" s="2" t="s">
        <v>27</v>
      </c>
      <c r="E15" s="2" t="s">
        <v>83</v>
      </c>
      <c r="F15" s="2" t="s">
        <v>100</v>
      </c>
      <c r="G15" s="2" t="s">
        <v>82</v>
      </c>
      <c r="H15" s="2" t="s">
        <v>99</v>
      </c>
      <c r="I15" s="4" t="s">
        <v>9</v>
      </c>
      <c r="J15" s="1" t="s">
        <v>163</v>
      </c>
      <c r="K15" s="1" t="s">
        <v>188</v>
      </c>
      <c r="L15" s="1" t="s">
        <v>151</v>
      </c>
      <c r="M15" s="1" t="s">
        <v>640</v>
      </c>
      <c r="N15" s="4" t="s">
        <v>263</v>
      </c>
      <c r="O15" s="1" t="s">
        <v>285</v>
      </c>
      <c r="P15" s="6" t="s">
        <v>12</v>
      </c>
      <c r="Q15" s="6" t="s">
        <v>296</v>
      </c>
      <c r="R15" s="2" t="s">
        <v>690</v>
      </c>
      <c r="S15" s="2" t="s">
        <v>670</v>
      </c>
      <c r="T15" s="2" t="s">
        <v>285</v>
      </c>
      <c r="U15" s="2" t="s">
        <v>785</v>
      </c>
      <c r="V15" s="6" t="s">
        <v>690</v>
      </c>
      <c r="W15" s="2" t="s">
        <v>684</v>
      </c>
    </row>
    <row r="16" spans="1:23" x14ac:dyDescent="0.25">
      <c r="A16" s="2" t="s">
        <v>13</v>
      </c>
      <c r="B16" s="2" t="s">
        <v>30</v>
      </c>
      <c r="C16" s="2" t="s">
        <v>10</v>
      </c>
      <c r="D16" s="2" t="s">
        <v>62</v>
      </c>
      <c r="E16" s="2" t="s">
        <v>84</v>
      </c>
      <c r="F16" s="2" t="s">
        <v>101</v>
      </c>
      <c r="G16" s="2" t="s">
        <v>83</v>
      </c>
      <c r="H16" s="2" t="s">
        <v>130</v>
      </c>
      <c r="I16" s="4" t="s">
        <v>4</v>
      </c>
      <c r="J16" s="1" t="s">
        <v>164</v>
      </c>
      <c r="K16" s="1" t="s">
        <v>189</v>
      </c>
      <c r="L16" s="1" t="s">
        <v>8</v>
      </c>
      <c r="M16" s="1" t="s">
        <v>641</v>
      </c>
      <c r="N16" s="4" t="s">
        <v>264</v>
      </c>
      <c r="O16" s="1" t="s">
        <v>286</v>
      </c>
      <c r="P16" s="6" t="s">
        <v>13</v>
      </c>
      <c r="Q16" s="6" t="s">
        <v>641</v>
      </c>
      <c r="R16" s="2" t="s">
        <v>294</v>
      </c>
      <c r="S16" s="2" t="s">
        <v>298</v>
      </c>
      <c r="T16" s="2" t="s">
        <v>286</v>
      </c>
      <c r="U16" s="2" t="s">
        <v>690</v>
      </c>
      <c r="V16" s="6" t="s">
        <v>670</v>
      </c>
      <c r="W16" s="2" t="s">
        <v>640</v>
      </c>
    </row>
    <row r="17" spans="1:23" x14ac:dyDescent="0.25">
      <c r="A17" s="2" t="s">
        <v>14</v>
      </c>
      <c r="B17" s="2" t="s">
        <v>21</v>
      </c>
      <c r="C17" s="2" t="s">
        <v>11</v>
      </c>
      <c r="D17" s="2" t="s">
        <v>18</v>
      </c>
      <c r="E17" s="2" t="s">
        <v>13</v>
      </c>
      <c r="F17" s="2" t="s">
        <v>102</v>
      </c>
      <c r="G17" s="2" t="s">
        <v>111</v>
      </c>
      <c r="H17" s="2" t="s">
        <v>131</v>
      </c>
      <c r="I17" s="4" t="s">
        <v>150</v>
      </c>
      <c r="J17" s="1" t="s">
        <v>165</v>
      </c>
      <c r="K17" s="1" t="s">
        <v>190</v>
      </c>
      <c r="L17" s="1" t="s">
        <v>0</v>
      </c>
      <c r="M17" s="1" t="s">
        <v>642</v>
      </c>
      <c r="N17" s="4" t="s">
        <v>265</v>
      </c>
      <c r="O17" s="1" t="s">
        <v>287</v>
      </c>
      <c r="P17" s="6" t="s">
        <v>14</v>
      </c>
      <c r="Q17" s="6" t="s">
        <v>772</v>
      </c>
      <c r="R17" s="2" t="s">
        <v>296</v>
      </c>
      <c r="S17" s="2" t="s">
        <v>641</v>
      </c>
      <c r="T17" s="2" t="s">
        <v>253</v>
      </c>
      <c r="U17" s="2" t="s">
        <v>670</v>
      </c>
      <c r="V17" s="6" t="s">
        <v>296</v>
      </c>
      <c r="W17" s="2" t="s">
        <v>77</v>
      </c>
    </row>
    <row r="18" spans="1:23" x14ac:dyDescent="0.25">
      <c r="A18" s="2" t="s">
        <v>15</v>
      </c>
      <c r="B18" s="2" t="s">
        <v>31</v>
      </c>
      <c r="C18" s="2" t="s">
        <v>13</v>
      </c>
      <c r="D18" s="2" t="s">
        <v>28</v>
      </c>
      <c r="E18" s="2" t="s">
        <v>85</v>
      </c>
      <c r="F18" s="2" t="s">
        <v>103</v>
      </c>
      <c r="G18" s="2" t="s">
        <v>112</v>
      </c>
      <c r="H18" s="2" t="s">
        <v>119</v>
      </c>
      <c r="I18" s="4" t="s">
        <v>71</v>
      </c>
      <c r="J18" s="1" t="s">
        <v>166</v>
      </c>
      <c r="K18" s="1" t="s">
        <v>191</v>
      </c>
      <c r="M18" s="1" t="s">
        <v>473</v>
      </c>
      <c r="N18" s="4" t="s">
        <v>266</v>
      </c>
      <c r="O18" s="1" t="s">
        <v>288</v>
      </c>
      <c r="P18" s="6" t="s">
        <v>15</v>
      </c>
      <c r="Q18" s="6" t="s">
        <v>684</v>
      </c>
      <c r="R18" s="2" t="s">
        <v>641</v>
      </c>
      <c r="S18" s="2" t="s">
        <v>658</v>
      </c>
      <c r="T18" s="2" t="s">
        <v>185</v>
      </c>
      <c r="U18" s="2" t="s">
        <v>298</v>
      </c>
      <c r="V18" s="6" t="s">
        <v>641</v>
      </c>
      <c r="W18" s="2" t="s">
        <v>309</v>
      </c>
    </row>
    <row r="19" spans="1:23" x14ac:dyDescent="0.25">
      <c r="A19" s="2" t="s">
        <v>16</v>
      </c>
      <c r="B19" s="2" t="s">
        <v>32</v>
      </c>
      <c r="C19" s="2" t="s">
        <v>47</v>
      </c>
      <c r="D19" s="2" t="s">
        <v>29</v>
      </c>
      <c r="E19" s="2" t="s">
        <v>86</v>
      </c>
      <c r="F19" s="2" t="s">
        <v>104</v>
      </c>
      <c r="G19" s="2" t="s">
        <v>84</v>
      </c>
      <c r="H19" s="2" t="s">
        <v>100</v>
      </c>
      <c r="I19" s="4" t="s">
        <v>151</v>
      </c>
      <c r="J19" s="1" t="s">
        <v>167</v>
      </c>
      <c r="K19" s="1" t="s">
        <v>192</v>
      </c>
      <c r="M19" s="1" t="s">
        <v>643</v>
      </c>
      <c r="N19" s="4" t="s">
        <v>267</v>
      </c>
      <c r="O19" s="1" t="s">
        <v>289</v>
      </c>
      <c r="P19" s="6" t="s">
        <v>16</v>
      </c>
      <c r="Q19" s="6" t="s">
        <v>640</v>
      </c>
      <c r="R19" s="2" t="s">
        <v>640</v>
      </c>
      <c r="S19" s="2" t="s">
        <v>684</v>
      </c>
      <c r="T19" s="2" t="s">
        <v>287</v>
      </c>
      <c r="U19" s="2" t="s">
        <v>641</v>
      </c>
      <c r="V19" s="6" t="s">
        <v>684</v>
      </c>
      <c r="W19" s="2" t="s">
        <v>780</v>
      </c>
    </row>
    <row r="20" spans="1:23" x14ac:dyDescent="0.25">
      <c r="A20" s="2" t="s">
        <v>17</v>
      </c>
      <c r="B20" s="2" t="s">
        <v>33</v>
      </c>
      <c r="C20" s="2" t="s">
        <v>14</v>
      </c>
      <c r="D20" s="2" t="s">
        <v>30</v>
      </c>
      <c r="E20" s="2" t="s">
        <v>87</v>
      </c>
      <c r="F20" s="2" t="s">
        <v>91</v>
      </c>
      <c r="G20" s="2" t="s">
        <v>113</v>
      </c>
      <c r="H20" s="2" t="s">
        <v>132</v>
      </c>
      <c r="I20" s="4" t="s">
        <v>8</v>
      </c>
      <c r="J20" s="1" t="s">
        <v>168</v>
      </c>
      <c r="K20" s="1" t="s">
        <v>193</v>
      </c>
      <c r="M20" s="1" t="s">
        <v>644</v>
      </c>
      <c r="N20" s="4" t="s">
        <v>268</v>
      </c>
      <c r="O20" s="1" t="s">
        <v>290</v>
      </c>
      <c r="P20" s="6" t="s">
        <v>17</v>
      </c>
      <c r="Q20" s="6" t="s">
        <v>77</v>
      </c>
      <c r="R20" s="2" t="s">
        <v>77</v>
      </c>
      <c r="S20" s="2" t="s">
        <v>77</v>
      </c>
      <c r="T20" s="2" t="s">
        <v>94</v>
      </c>
      <c r="U20" s="2" t="s">
        <v>658</v>
      </c>
      <c r="V20" s="6" t="s">
        <v>640</v>
      </c>
      <c r="W20" s="2" t="s">
        <v>318</v>
      </c>
    </row>
    <row r="21" spans="1:23" x14ac:dyDescent="0.25">
      <c r="A21" s="2" t="s">
        <v>18</v>
      </c>
      <c r="B21" s="2" t="s">
        <v>34</v>
      </c>
      <c r="C21" s="2" t="s">
        <v>48</v>
      </c>
      <c r="D21" s="2" t="s">
        <v>63</v>
      </c>
      <c r="E21" s="2" t="s">
        <v>88</v>
      </c>
      <c r="F21" s="2" t="s">
        <v>105</v>
      </c>
      <c r="G21" s="2" t="s">
        <v>85</v>
      </c>
      <c r="H21" s="2" t="s">
        <v>101</v>
      </c>
      <c r="I21" s="4" t="s">
        <v>0</v>
      </c>
      <c r="J21" s="1" t="s">
        <v>169</v>
      </c>
      <c r="K21" s="1" t="s">
        <v>194</v>
      </c>
      <c r="M21" s="1" t="s">
        <v>476</v>
      </c>
      <c r="N21" s="4" t="s">
        <v>269</v>
      </c>
      <c r="O21" s="1" t="s">
        <v>291</v>
      </c>
      <c r="P21" s="6" t="s">
        <v>18</v>
      </c>
      <c r="Q21" s="6" t="s">
        <v>319</v>
      </c>
      <c r="R21" s="2" t="s">
        <v>309</v>
      </c>
      <c r="S21" s="2" t="s">
        <v>309</v>
      </c>
      <c r="T21" s="2" t="s">
        <v>288</v>
      </c>
      <c r="U21" s="2" t="s">
        <v>684</v>
      </c>
      <c r="V21" s="6" t="s">
        <v>77</v>
      </c>
      <c r="W21" s="2" t="s">
        <v>319</v>
      </c>
    </row>
    <row r="22" spans="1:23" x14ac:dyDescent="0.25">
      <c r="A22" s="2" t="s">
        <v>19</v>
      </c>
      <c r="B22" s="2" t="s">
        <v>23</v>
      </c>
      <c r="C22" s="2" t="s">
        <v>15</v>
      </c>
      <c r="D22" s="2" t="s">
        <v>21</v>
      </c>
      <c r="E22" s="2" t="s">
        <v>89</v>
      </c>
      <c r="F22" s="2" t="s">
        <v>106</v>
      </c>
      <c r="G22" s="2" t="s">
        <v>114</v>
      </c>
      <c r="H22" s="2" t="s">
        <v>102</v>
      </c>
      <c r="J22" s="1" t="s">
        <v>170</v>
      </c>
      <c r="K22" s="1" t="s">
        <v>195</v>
      </c>
      <c r="M22" s="1" t="s">
        <v>242</v>
      </c>
      <c r="N22" s="4" t="s">
        <v>270</v>
      </c>
      <c r="O22" s="1" t="s">
        <v>292</v>
      </c>
      <c r="P22" s="6" t="s">
        <v>19</v>
      </c>
      <c r="Q22" s="6" t="s">
        <v>321</v>
      </c>
      <c r="R22" s="2" t="s">
        <v>780</v>
      </c>
      <c r="S22" s="2" t="s">
        <v>629</v>
      </c>
      <c r="T22" s="2" t="s">
        <v>117</v>
      </c>
      <c r="U22" s="2" t="s">
        <v>640</v>
      </c>
      <c r="V22" s="6" t="s">
        <v>309</v>
      </c>
      <c r="W22" s="2" t="s">
        <v>321</v>
      </c>
    </row>
    <row r="23" spans="1:23" x14ac:dyDescent="0.25">
      <c r="A23" s="2" t="s">
        <v>20</v>
      </c>
      <c r="B23" s="2" t="s">
        <v>35</v>
      </c>
      <c r="C23" s="2" t="s">
        <v>16</v>
      </c>
      <c r="D23" s="2" t="s">
        <v>31</v>
      </c>
      <c r="E23" s="2" t="s">
        <v>90</v>
      </c>
      <c r="F23" s="2" t="s">
        <v>107</v>
      </c>
      <c r="G23" s="2" t="s">
        <v>115</v>
      </c>
      <c r="H23" s="2" t="s">
        <v>133</v>
      </c>
      <c r="J23" s="1" t="s">
        <v>171</v>
      </c>
      <c r="K23" s="1" t="s">
        <v>196</v>
      </c>
      <c r="M23" s="1" t="s">
        <v>598</v>
      </c>
      <c r="N23" s="4" t="s">
        <v>271</v>
      </c>
      <c r="O23" s="1" t="s">
        <v>255</v>
      </c>
      <c r="P23" s="6" t="s">
        <v>20</v>
      </c>
      <c r="Q23" s="6" t="s">
        <v>332</v>
      </c>
      <c r="R23" s="2" t="s">
        <v>781</v>
      </c>
      <c r="S23" s="2" t="s">
        <v>310</v>
      </c>
      <c r="T23" s="2" t="s">
        <v>98</v>
      </c>
      <c r="U23" s="2" t="s">
        <v>145</v>
      </c>
      <c r="V23" s="6" t="s">
        <v>736</v>
      </c>
      <c r="W23" s="2" t="s">
        <v>662</v>
      </c>
    </row>
    <row r="24" spans="1:23" x14ac:dyDescent="0.25">
      <c r="A24" s="2" t="s">
        <v>21</v>
      </c>
      <c r="B24" s="2" t="s">
        <v>36</v>
      </c>
      <c r="C24" s="2" t="s">
        <v>18</v>
      </c>
      <c r="D24" s="2" t="s">
        <v>64</v>
      </c>
      <c r="E24" s="2" t="s">
        <v>91</v>
      </c>
      <c r="F24" s="2" t="s">
        <v>108</v>
      </c>
      <c r="G24" s="2" t="s">
        <v>87</v>
      </c>
      <c r="H24" s="2" t="s">
        <v>103</v>
      </c>
      <c r="J24" s="1" t="s">
        <v>172</v>
      </c>
      <c r="K24" s="1" t="s">
        <v>197</v>
      </c>
      <c r="M24" s="1" t="s">
        <v>645</v>
      </c>
      <c r="N24" s="4" t="s">
        <v>272</v>
      </c>
      <c r="O24" s="1" t="s">
        <v>293</v>
      </c>
      <c r="P24" s="6" t="s">
        <v>21</v>
      </c>
      <c r="Q24" s="6" t="s">
        <v>258</v>
      </c>
      <c r="R24" s="2" t="s">
        <v>318</v>
      </c>
      <c r="S24" s="2" t="s">
        <v>736</v>
      </c>
      <c r="T24" s="2" t="s">
        <v>292</v>
      </c>
      <c r="U24" s="2" t="s">
        <v>77</v>
      </c>
      <c r="V24" s="6" t="s">
        <v>20</v>
      </c>
      <c r="W24" s="2" t="s">
        <v>258</v>
      </c>
    </row>
    <row r="25" spans="1:23" x14ac:dyDescent="0.25">
      <c r="A25" s="2" t="s">
        <v>22</v>
      </c>
      <c r="B25" s="2" t="s">
        <v>37</v>
      </c>
      <c r="C25" s="2" t="s">
        <v>20</v>
      </c>
      <c r="D25" s="2" t="s">
        <v>32</v>
      </c>
      <c r="G25" s="2" t="s">
        <v>88</v>
      </c>
      <c r="H25" s="2" t="s">
        <v>104</v>
      </c>
      <c r="J25" s="1" t="s">
        <v>173</v>
      </c>
      <c r="K25" s="1" t="s">
        <v>198</v>
      </c>
      <c r="M25" s="1" t="s">
        <v>646</v>
      </c>
      <c r="N25" s="4" t="s">
        <v>273</v>
      </c>
      <c r="O25" s="1" t="s">
        <v>294</v>
      </c>
      <c r="P25" s="6" t="s">
        <v>22</v>
      </c>
      <c r="Q25" s="6" t="s">
        <v>78</v>
      </c>
      <c r="R25" s="2" t="s">
        <v>319</v>
      </c>
      <c r="S25" s="2" t="s">
        <v>20</v>
      </c>
      <c r="T25" s="2" t="s">
        <v>686</v>
      </c>
      <c r="U25" s="2" t="s">
        <v>305</v>
      </c>
      <c r="V25" s="6" t="s">
        <v>780</v>
      </c>
      <c r="W25" s="2" t="s">
        <v>78</v>
      </c>
    </row>
    <row r="26" spans="1:23" x14ac:dyDescent="0.25">
      <c r="A26" s="2" t="s">
        <v>23</v>
      </c>
      <c r="B26" s="2" t="s">
        <v>38</v>
      </c>
      <c r="C26" s="2" t="s">
        <v>21</v>
      </c>
      <c r="D26" s="2" t="s">
        <v>65</v>
      </c>
      <c r="G26" s="2" t="s">
        <v>116</v>
      </c>
      <c r="H26" s="2" t="s">
        <v>134</v>
      </c>
      <c r="J26" s="1" t="s">
        <v>174</v>
      </c>
      <c r="K26" s="1" t="s">
        <v>199</v>
      </c>
      <c r="M26" s="1" t="s">
        <v>647</v>
      </c>
      <c r="O26" s="1" t="s">
        <v>295</v>
      </c>
      <c r="P26" s="6" t="s">
        <v>23</v>
      </c>
      <c r="Q26" s="6" t="s">
        <v>724</v>
      </c>
      <c r="R26" s="2" t="s">
        <v>321</v>
      </c>
      <c r="S26" s="2" t="s">
        <v>780</v>
      </c>
      <c r="T26" s="2" t="s">
        <v>28</v>
      </c>
      <c r="U26" s="2" t="s">
        <v>309</v>
      </c>
      <c r="V26" s="6" t="s">
        <v>781</v>
      </c>
      <c r="W26" s="2" t="s">
        <v>724</v>
      </c>
    </row>
    <row r="27" spans="1:23" x14ac:dyDescent="0.25">
      <c r="A27" s="2" t="s">
        <v>24</v>
      </c>
      <c r="B27" s="2" t="s">
        <v>39</v>
      </c>
      <c r="C27" s="2" t="s">
        <v>49</v>
      </c>
      <c r="D27" s="2" t="s">
        <v>33</v>
      </c>
      <c r="G27" s="2" t="s">
        <v>117</v>
      </c>
      <c r="H27" s="2" t="s">
        <v>121</v>
      </c>
      <c r="J27" s="1" t="s">
        <v>175</v>
      </c>
      <c r="K27" s="1" t="s">
        <v>200</v>
      </c>
      <c r="M27" s="1" t="s">
        <v>648</v>
      </c>
      <c r="O27" s="1" t="s">
        <v>296</v>
      </c>
      <c r="P27" s="6" t="s">
        <v>24</v>
      </c>
      <c r="Q27" s="6" t="s">
        <v>176</v>
      </c>
      <c r="R27" s="2" t="s">
        <v>748</v>
      </c>
      <c r="S27" s="2" t="s">
        <v>781</v>
      </c>
      <c r="T27" s="2" t="s">
        <v>255</v>
      </c>
      <c r="U27" s="2" t="s">
        <v>750</v>
      </c>
      <c r="V27" s="6" t="s">
        <v>312</v>
      </c>
      <c r="W27" s="2" t="s">
        <v>176</v>
      </c>
    </row>
    <row r="28" spans="1:23" x14ac:dyDescent="0.25">
      <c r="A28" s="2" t="s">
        <v>25</v>
      </c>
      <c r="B28" s="2" t="s">
        <v>25</v>
      </c>
      <c r="C28" s="2" t="s">
        <v>50</v>
      </c>
      <c r="D28" s="2" t="s">
        <v>50</v>
      </c>
      <c r="G28" s="2" t="s">
        <v>118</v>
      </c>
      <c r="H28" s="2" t="s">
        <v>51</v>
      </c>
      <c r="J28" s="1" t="s">
        <v>88</v>
      </c>
      <c r="K28" s="1" t="s">
        <v>201</v>
      </c>
      <c r="M28" s="1" t="s">
        <v>649</v>
      </c>
      <c r="O28" s="1" t="s">
        <v>297</v>
      </c>
      <c r="P28" s="6" t="s">
        <v>25</v>
      </c>
      <c r="Q28" s="6" t="s">
        <v>338</v>
      </c>
      <c r="R28" s="2" t="s">
        <v>662</v>
      </c>
      <c r="S28" s="2" t="s">
        <v>312</v>
      </c>
      <c r="T28" s="2" t="s">
        <v>785</v>
      </c>
      <c r="U28" s="2" t="s">
        <v>736</v>
      </c>
      <c r="V28" s="6" t="s">
        <v>733</v>
      </c>
      <c r="W28" s="2" t="s">
        <v>338</v>
      </c>
    </row>
    <row r="29" spans="1:23" x14ac:dyDescent="0.25">
      <c r="C29" s="2" t="s">
        <v>51</v>
      </c>
      <c r="D29" s="2" t="s">
        <v>23</v>
      </c>
      <c r="G29" s="2" t="s">
        <v>89</v>
      </c>
      <c r="H29" s="2" t="s">
        <v>91</v>
      </c>
      <c r="J29" s="1" t="s">
        <v>143</v>
      </c>
      <c r="K29" s="1" t="s">
        <v>202</v>
      </c>
      <c r="M29" s="1" t="s">
        <v>650</v>
      </c>
      <c r="O29" s="1" t="s">
        <v>298</v>
      </c>
      <c r="P29" s="6" t="s">
        <v>26</v>
      </c>
      <c r="Q29" s="6" t="s">
        <v>728</v>
      </c>
      <c r="R29" s="2" t="s">
        <v>258</v>
      </c>
      <c r="S29" s="2" t="s">
        <v>733</v>
      </c>
      <c r="T29" s="2" t="s">
        <v>690</v>
      </c>
      <c r="U29" s="2" t="s">
        <v>20</v>
      </c>
      <c r="V29" s="6" t="s">
        <v>313</v>
      </c>
      <c r="W29" s="2" t="s">
        <v>728</v>
      </c>
    </row>
    <row r="30" spans="1:23" x14ac:dyDescent="0.25">
      <c r="C30" s="2" t="s">
        <v>52</v>
      </c>
      <c r="D30" s="2" t="s">
        <v>66</v>
      </c>
      <c r="G30" s="2" t="s">
        <v>119</v>
      </c>
      <c r="H30" s="2" t="s">
        <v>105</v>
      </c>
      <c r="J30" s="1" t="s">
        <v>82</v>
      </c>
      <c r="K30" s="1" t="s">
        <v>203</v>
      </c>
      <c r="M30" s="1" t="s">
        <v>651</v>
      </c>
      <c r="O30" s="1" t="s">
        <v>299</v>
      </c>
      <c r="P30" s="6" t="s">
        <v>27</v>
      </c>
      <c r="Q30" s="6" t="s">
        <v>248</v>
      </c>
      <c r="R30" s="2" t="s">
        <v>78</v>
      </c>
      <c r="S30" s="2" t="s">
        <v>313</v>
      </c>
      <c r="T30" s="2" t="s">
        <v>294</v>
      </c>
      <c r="U30" s="2" t="s">
        <v>780</v>
      </c>
      <c r="V30" s="6" t="s">
        <v>256</v>
      </c>
      <c r="W30" s="2" t="s">
        <v>354</v>
      </c>
    </row>
    <row r="31" spans="1:23" x14ac:dyDescent="0.25">
      <c r="C31" s="2" t="s">
        <v>23</v>
      </c>
      <c r="D31" s="2" t="s">
        <v>37</v>
      </c>
      <c r="G31" s="2" t="s">
        <v>90</v>
      </c>
      <c r="H31" s="2" t="s">
        <v>106</v>
      </c>
      <c r="J31" s="1" t="s">
        <v>81</v>
      </c>
      <c r="K31" s="1" t="s">
        <v>204</v>
      </c>
      <c r="M31" s="1" t="s">
        <v>652</v>
      </c>
      <c r="O31" s="1" t="s">
        <v>300</v>
      </c>
      <c r="P31" s="6" t="s">
        <v>28</v>
      </c>
      <c r="Q31" s="6" t="s">
        <v>354</v>
      </c>
      <c r="R31" s="2" t="s">
        <v>724</v>
      </c>
      <c r="S31" s="2" t="s">
        <v>314</v>
      </c>
      <c r="T31" s="2" t="s">
        <v>670</v>
      </c>
      <c r="U31" s="2" t="s">
        <v>312</v>
      </c>
      <c r="V31" s="6" t="s">
        <v>318</v>
      </c>
      <c r="W31" s="2" t="s">
        <v>356</v>
      </c>
    </row>
    <row r="32" spans="1:23" x14ac:dyDescent="0.25">
      <c r="C32" s="2" t="s">
        <v>53</v>
      </c>
      <c r="D32" s="2" t="s">
        <v>67</v>
      </c>
      <c r="G32" s="2" t="s">
        <v>120</v>
      </c>
      <c r="H32" s="2" t="s">
        <v>135</v>
      </c>
      <c r="J32" s="2">
        <v>2000</v>
      </c>
      <c r="K32" s="1" t="s">
        <v>205</v>
      </c>
      <c r="M32" s="1" t="s">
        <v>653</v>
      </c>
      <c r="O32" s="1" t="s">
        <v>301</v>
      </c>
      <c r="P32" s="6" t="s">
        <v>29</v>
      </c>
      <c r="Q32" s="6" t="s">
        <v>356</v>
      </c>
      <c r="R32" s="2" t="s">
        <v>176</v>
      </c>
      <c r="S32" s="2" t="s">
        <v>256</v>
      </c>
      <c r="T32" s="2" t="s">
        <v>295</v>
      </c>
      <c r="U32" s="2" t="s">
        <v>733</v>
      </c>
      <c r="V32" s="6" t="s">
        <v>319</v>
      </c>
      <c r="W32" s="2" t="s">
        <v>357</v>
      </c>
    </row>
    <row r="33" spans="3:23" x14ac:dyDescent="0.25">
      <c r="C33" s="2" t="s">
        <v>54</v>
      </c>
      <c r="D33" s="2" t="s">
        <v>68</v>
      </c>
      <c r="G33" s="2" t="s">
        <v>121</v>
      </c>
      <c r="H33" s="2" t="s">
        <v>136</v>
      </c>
      <c r="J33" s="1" t="s">
        <v>144</v>
      </c>
      <c r="K33" s="1" t="s">
        <v>206</v>
      </c>
      <c r="M33" s="1" t="s">
        <v>654</v>
      </c>
      <c r="O33" s="1" t="s">
        <v>302</v>
      </c>
      <c r="P33" s="6" t="s">
        <v>30</v>
      </c>
      <c r="Q33" s="6" t="s">
        <v>357</v>
      </c>
      <c r="R33" s="2" t="s">
        <v>338</v>
      </c>
      <c r="S33" s="2" t="s">
        <v>316</v>
      </c>
      <c r="T33" s="2" t="s">
        <v>296</v>
      </c>
      <c r="U33" s="2" t="s">
        <v>313</v>
      </c>
      <c r="V33" s="6" t="s">
        <v>321</v>
      </c>
      <c r="W33" s="2" t="s">
        <v>45</v>
      </c>
    </row>
    <row r="34" spans="3:23" x14ac:dyDescent="0.25">
      <c r="C34" s="2" t="s">
        <v>24</v>
      </c>
      <c r="D34" s="2" t="s">
        <v>38</v>
      </c>
      <c r="G34" s="2" t="s">
        <v>91</v>
      </c>
      <c r="H34" s="2" t="s">
        <v>107</v>
      </c>
      <c r="J34" s="1" t="s">
        <v>145</v>
      </c>
      <c r="K34" s="1" t="s">
        <v>207</v>
      </c>
      <c r="M34" s="1" t="s">
        <v>655</v>
      </c>
      <c r="O34" s="1" t="s">
        <v>303</v>
      </c>
      <c r="P34" s="6" t="s">
        <v>31</v>
      </c>
      <c r="Q34" s="6" t="s">
        <v>45</v>
      </c>
      <c r="R34" s="2" t="s">
        <v>728</v>
      </c>
      <c r="S34" s="2" t="s">
        <v>318</v>
      </c>
      <c r="T34" s="2" t="s">
        <v>641</v>
      </c>
      <c r="U34" s="2" t="s">
        <v>314</v>
      </c>
      <c r="V34" s="6" t="s">
        <v>748</v>
      </c>
      <c r="W34" s="2" t="s">
        <v>631</v>
      </c>
    </row>
    <row r="35" spans="3:23" x14ac:dyDescent="0.25">
      <c r="C35" s="2" t="s">
        <v>55</v>
      </c>
      <c r="D35" s="2" t="s">
        <v>69</v>
      </c>
      <c r="G35" s="2" t="s">
        <v>34</v>
      </c>
      <c r="H35" s="2" t="s">
        <v>137</v>
      </c>
      <c r="J35" s="1" t="s">
        <v>146</v>
      </c>
      <c r="K35" s="1" t="s">
        <v>208</v>
      </c>
      <c r="M35" s="1" t="s">
        <v>656</v>
      </c>
      <c r="O35" s="1" t="s">
        <v>304</v>
      </c>
      <c r="P35" s="6" t="s">
        <v>32</v>
      </c>
      <c r="Q35" s="6" t="s">
        <v>71</v>
      </c>
      <c r="R35" s="2" t="s">
        <v>348</v>
      </c>
      <c r="S35" s="2" t="s">
        <v>319</v>
      </c>
      <c r="T35" s="2" t="s">
        <v>772</v>
      </c>
      <c r="U35" s="2" t="s">
        <v>256</v>
      </c>
      <c r="V35" s="6" t="s">
        <v>151</v>
      </c>
      <c r="W35" s="2" t="s">
        <v>725</v>
      </c>
    </row>
    <row r="36" spans="3:23" x14ac:dyDescent="0.25">
      <c r="C36" s="2" t="s">
        <v>56</v>
      </c>
      <c r="D36" s="2" t="s">
        <v>55</v>
      </c>
      <c r="G36" s="2" t="s">
        <v>122</v>
      </c>
      <c r="H36" s="2" t="s">
        <v>138</v>
      </c>
      <c r="J36" s="1" t="s">
        <v>18</v>
      </c>
      <c r="K36" s="1" t="s">
        <v>209</v>
      </c>
      <c r="M36" s="1" t="s">
        <v>657</v>
      </c>
      <c r="O36" s="1" t="s">
        <v>305</v>
      </c>
      <c r="P36" s="6" t="s">
        <v>33</v>
      </c>
      <c r="Q36" s="6" t="s">
        <v>379</v>
      </c>
      <c r="R36" s="2" t="s">
        <v>354</v>
      </c>
      <c r="S36" s="2" t="s">
        <v>321</v>
      </c>
      <c r="T36" s="2" t="s">
        <v>684</v>
      </c>
      <c r="U36" s="2" t="s">
        <v>317</v>
      </c>
      <c r="V36" s="6" t="s">
        <v>759</v>
      </c>
      <c r="W36" s="2" t="s">
        <v>71</v>
      </c>
    </row>
    <row r="37" spans="3:23" x14ac:dyDescent="0.25">
      <c r="C37" s="2" t="s">
        <v>57</v>
      </c>
      <c r="D37" s="2" t="s">
        <v>70</v>
      </c>
      <c r="G37" s="2" t="s">
        <v>123</v>
      </c>
      <c r="H37" s="2" t="s">
        <v>126</v>
      </c>
      <c r="J37" s="1" t="s">
        <v>79</v>
      </c>
      <c r="K37" s="1" t="s">
        <v>210</v>
      </c>
      <c r="M37" s="1" t="s">
        <v>658</v>
      </c>
      <c r="O37" s="1" t="s">
        <v>306</v>
      </c>
      <c r="P37" s="6" t="s">
        <v>34</v>
      </c>
      <c r="Q37" s="6" t="s">
        <v>183</v>
      </c>
      <c r="R37" s="2" t="s">
        <v>356</v>
      </c>
      <c r="S37" s="2" t="s">
        <v>648</v>
      </c>
      <c r="T37" s="2" t="s">
        <v>640</v>
      </c>
      <c r="U37" s="2" t="s">
        <v>318</v>
      </c>
      <c r="V37" s="6" t="s">
        <v>662</v>
      </c>
      <c r="W37" s="2" t="s">
        <v>726</v>
      </c>
    </row>
    <row r="38" spans="3:23" x14ac:dyDescent="0.25">
      <c r="C38" s="2" t="s">
        <v>25</v>
      </c>
      <c r="D38" s="2" t="s">
        <v>25</v>
      </c>
      <c r="G38" s="2" t="s">
        <v>124</v>
      </c>
      <c r="H38" s="2" t="s">
        <v>128</v>
      </c>
      <c r="J38" s="1" t="s">
        <v>147</v>
      </c>
      <c r="K38" s="1" t="s">
        <v>211</v>
      </c>
      <c r="M38" s="1" t="s">
        <v>410</v>
      </c>
      <c r="O38" s="1" t="s">
        <v>307</v>
      </c>
      <c r="P38" s="6" t="s">
        <v>35</v>
      </c>
      <c r="Q38" s="6" t="s">
        <v>726</v>
      </c>
      <c r="R38" s="2" t="s">
        <v>357</v>
      </c>
      <c r="S38" s="2" t="s">
        <v>748</v>
      </c>
      <c r="T38" s="2" t="s">
        <v>301</v>
      </c>
      <c r="U38" s="2" t="s">
        <v>319</v>
      </c>
      <c r="V38" s="6" t="s">
        <v>258</v>
      </c>
      <c r="W38" s="2" t="s">
        <v>721</v>
      </c>
    </row>
    <row r="39" spans="3:23" x14ac:dyDescent="0.25">
      <c r="G39" s="2" t="s">
        <v>125</v>
      </c>
      <c r="H39" s="2" t="s">
        <v>139</v>
      </c>
      <c r="J39" s="1" t="s">
        <v>148</v>
      </c>
      <c r="K39" s="1" t="s">
        <v>212</v>
      </c>
      <c r="M39" s="1" t="s">
        <v>659</v>
      </c>
      <c r="O39" s="1" t="s">
        <v>308</v>
      </c>
      <c r="P39" s="6" t="s">
        <v>36</v>
      </c>
      <c r="Q39" s="6" t="s">
        <v>721</v>
      </c>
      <c r="R39" s="2" t="s">
        <v>45</v>
      </c>
      <c r="S39" s="2" t="s">
        <v>151</v>
      </c>
      <c r="T39" s="2" t="s">
        <v>302</v>
      </c>
      <c r="U39" s="2" t="s">
        <v>321</v>
      </c>
      <c r="V39" s="6" t="s">
        <v>78</v>
      </c>
      <c r="W39" s="2" t="s">
        <v>661</v>
      </c>
    </row>
    <row r="40" spans="3:23" x14ac:dyDescent="0.25">
      <c r="G40" s="2" t="s">
        <v>126</v>
      </c>
      <c r="H40" s="2" t="s">
        <v>140</v>
      </c>
      <c r="J40" s="1" t="s">
        <v>149</v>
      </c>
      <c r="K40" s="1" t="s">
        <v>213</v>
      </c>
      <c r="M40" s="1" t="s">
        <v>660</v>
      </c>
      <c r="O40" s="1" t="s">
        <v>309</v>
      </c>
      <c r="P40" s="6" t="s">
        <v>37</v>
      </c>
      <c r="Q40" s="6" t="s">
        <v>661</v>
      </c>
      <c r="R40" s="2" t="s">
        <v>631</v>
      </c>
      <c r="S40" s="2" t="s">
        <v>327</v>
      </c>
      <c r="T40" s="2" t="s">
        <v>118</v>
      </c>
      <c r="U40" s="2" t="s">
        <v>151</v>
      </c>
      <c r="V40" s="6" t="s">
        <v>724</v>
      </c>
      <c r="W40" s="2" t="s">
        <v>646</v>
      </c>
    </row>
    <row r="41" spans="3:23" x14ac:dyDescent="0.25">
      <c r="G41" s="2" t="s">
        <v>127</v>
      </c>
      <c r="H41" s="2" t="s">
        <v>141</v>
      </c>
      <c r="J41" s="1" t="s">
        <v>9</v>
      </c>
      <c r="K41" s="1" t="s">
        <v>214</v>
      </c>
      <c r="M41" s="1" t="s">
        <v>243</v>
      </c>
      <c r="O41" s="1" t="s">
        <v>310</v>
      </c>
      <c r="P41" s="6" t="s">
        <v>38</v>
      </c>
      <c r="Q41" s="6" t="s">
        <v>646</v>
      </c>
      <c r="R41" s="2" t="s">
        <v>31</v>
      </c>
      <c r="S41" s="2" t="s">
        <v>759</v>
      </c>
      <c r="T41" s="2" t="s">
        <v>303</v>
      </c>
      <c r="U41" s="2" t="s">
        <v>759</v>
      </c>
      <c r="V41" s="6" t="s">
        <v>335</v>
      </c>
      <c r="W41" s="2" t="s">
        <v>388</v>
      </c>
    </row>
    <row r="42" spans="3:23" x14ac:dyDescent="0.25">
      <c r="G42" s="2" t="s">
        <v>128</v>
      </c>
      <c r="H42" s="2" t="s">
        <v>142</v>
      </c>
      <c r="J42" s="1" t="s">
        <v>4</v>
      </c>
      <c r="K42" s="1" t="s">
        <v>215</v>
      </c>
      <c r="M42" s="1" t="s">
        <v>661</v>
      </c>
      <c r="O42" s="1" t="s">
        <v>311</v>
      </c>
      <c r="P42" s="6" t="s">
        <v>39</v>
      </c>
      <c r="Q42" s="6" t="s">
        <v>388</v>
      </c>
      <c r="R42" s="2" t="s">
        <v>725</v>
      </c>
      <c r="S42" s="2" t="s">
        <v>662</v>
      </c>
      <c r="T42" s="2" t="s">
        <v>29</v>
      </c>
      <c r="U42" s="2" t="s">
        <v>662</v>
      </c>
      <c r="V42" s="6" t="s">
        <v>176</v>
      </c>
      <c r="W42" s="2" t="s">
        <v>634</v>
      </c>
    </row>
    <row r="43" spans="3:23" x14ac:dyDescent="0.25">
      <c r="J43" s="1" t="s">
        <v>150</v>
      </c>
      <c r="K43" s="1" t="s">
        <v>216</v>
      </c>
      <c r="M43" s="1" t="s">
        <v>662</v>
      </c>
      <c r="O43" s="1" t="s">
        <v>312</v>
      </c>
      <c r="P43" s="6" t="s">
        <v>40</v>
      </c>
      <c r="Q43" s="6" t="s">
        <v>634</v>
      </c>
      <c r="R43" s="2" t="s">
        <v>71</v>
      </c>
      <c r="S43" s="2" t="s">
        <v>257</v>
      </c>
      <c r="T43" s="2" t="s">
        <v>77</v>
      </c>
      <c r="U43" s="2" t="s">
        <v>258</v>
      </c>
      <c r="V43" s="6" t="s">
        <v>338</v>
      </c>
      <c r="W43" s="2" t="s">
        <v>244</v>
      </c>
    </row>
    <row r="44" spans="3:23" x14ac:dyDescent="0.25">
      <c r="J44" s="1" t="s">
        <v>71</v>
      </c>
      <c r="K44" s="1" t="s">
        <v>217</v>
      </c>
      <c r="M44" s="1" t="s">
        <v>663</v>
      </c>
      <c r="O44" s="1" t="s">
        <v>313</v>
      </c>
      <c r="P44" s="6" t="s">
        <v>41</v>
      </c>
      <c r="Q44" s="6" t="s">
        <v>633</v>
      </c>
      <c r="R44" s="2" t="s">
        <v>368</v>
      </c>
      <c r="S44" s="2" t="s">
        <v>331</v>
      </c>
      <c r="T44" s="2" t="s">
        <v>306</v>
      </c>
      <c r="U44" s="2" t="s">
        <v>78</v>
      </c>
      <c r="V44" s="6" t="s">
        <v>728</v>
      </c>
      <c r="W44" s="2" t="s">
        <v>18</v>
      </c>
    </row>
    <row r="45" spans="3:23" x14ac:dyDescent="0.25">
      <c r="J45" s="1" t="s">
        <v>151</v>
      </c>
      <c r="K45" s="1" t="s">
        <v>142</v>
      </c>
      <c r="M45" s="1" t="s">
        <v>664</v>
      </c>
      <c r="O45" s="1" t="s">
        <v>314</v>
      </c>
      <c r="P45" s="6" t="s">
        <v>42</v>
      </c>
      <c r="Q45" s="6" t="s">
        <v>244</v>
      </c>
      <c r="R45" s="2" t="s">
        <v>64</v>
      </c>
      <c r="S45" s="2" t="s">
        <v>78</v>
      </c>
      <c r="T45" s="2" t="s">
        <v>309</v>
      </c>
      <c r="U45" s="2" t="s">
        <v>724</v>
      </c>
      <c r="V45" s="6" t="s">
        <v>248</v>
      </c>
      <c r="W45" s="2" t="s">
        <v>405</v>
      </c>
    </row>
    <row r="46" spans="3:23" x14ac:dyDescent="0.25">
      <c r="J46" s="1" t="s">
        <v>8</v>
      </c>
      <c r="K46" s="1" t="s">
        <v>218</v>
      </c>
      <c r="M46" s="1" t="s">
        <v>665</v>
      </c>
      <c r="O46" s="1" t="s">
        <v>315</v>
      </c>
      <c r="P46" s="6" t="s">
        <v>43</v>
      </c>
      <c r="Q46" s="6" t="s">
        <v>405</v>
      </c>
      <c r="R46" s="2" t="s">
        <v>726</v>
      </c>
      <c r="S46" s="2" t="s">
        <v>724</v>
      </c>
      <c r="T46" s="2" t="s">
        <v>750</v>
      </c>
      <c r="U46" s="2" t="s">
        <v>335</v>
      </c>
      <c r="V46" s="6" t="s">
        <v>348</v>
      </c>
      <c r="W46" s="2" t="s">
        <v>75</v>
      </c>
    </row>
    <row r="47" spans="3:23" x14ac:dyDescent="0.25">
      <c r="J47" s="1" t="s">
        <v>0</v>
      </c>
      <c r="K47" s="1" t="s">
        <v>219</v>
      </c>
      <c r="M47" s="1" t="s">
        <v>666</v>
      </c>
      <c r="O47" s="1" t="s">
        <v>316</v>
      </c>
      <c r="P47" s="6" t="s">
        <v>44</v>
      </c>
      <c r="Q47" s="6" t="s">
        <v>75</v>
      </c>
      <c r="R47" s="2" t="s">
        <v>721</v>
      </c>
      <c r="S47" s="2" t="s">
        <v>335</v>
      </c>
      <c r="T47" s="2" t="s">
        <v>310</v>
      </c>
      <c r="U47" s="2" t="s">
        <v>176</v>
      </c>
      <c r="V47" s="6" t="s">
        <v>21</v>
      </c>
      <c r="W47" s="2" t="s">
        <v>180</v>
      </c>
    </row>
    <row r="48" spans="3:23" x14ac:dyDescent="0.25">
      <c r="K48" s="1" t="s">
        <v>220</v>
      </c>
      <c r="M48" s="1" t="s">
        <v>244</v>
      </c>
      <c r="O48" s="1" t="s">
        <v>317</v>
      </c>
      <c r="P48" s="6">
        <v>1800</v>
      </c>
      <c r="Q48" s="6" t="s">
        <v>697</v>
      </c>
      <c r="R48" s="2" t="s">
        <v>661</v>
      </c>
      <c r="S48" s="2" t="s">
        <v>176</v>
      </c>
      <c r="T48" s="2" t="s">
        <v>736</v>
      </c>
      <c r="U48" s="2" t="s">
        <v>336</v>
      </c>
      <c r="V48" s="6" t="s">
        <v>354</v>
      </c>
      <c r="W48" s="2" t="s">
        <v>410</v>
      </c>
    </row>
    <row r="49" spans="11:23" x14ac:dyDescent="0.25">
      <c r="K49" s="1" t="s">
        <v>221</v>
      </c>
      <c r="M49" s="1" t="s">
        <v>667</v>
      </c>
      <c r="O49" s="1" t="s">
        <v>318</v>
      </c>
      <c r="P49" s="6" t="s">
        <v>46</v>
      </c>
      <c r="Q49" s="6" t="s">
        <v>679</v>
      </c>
      <c r="R49" s="2" t="s">
        <v>383</v>
      </c>
      <c r="S49" s="2" t="s">
        <v>336</v>
      </c>
      <c r="T49" s="2" t="s">
        <v>20</v>
      </c>
      <c r="U49" s="2" t="s">
        <v>337</v>
      </c>
      <c r="V49" s="6" t="s">
        <v>356</v>
      </c>
      <c r="W49" s="2" t="s">
        <v>707</v>
      </c>
    </row>
    <row r="50" spans="11:23" x14ac:dyDescent="0.25">
      <c r="K50" s="1" t="s">
        <v>222</v>
      </c>
      <c r="M50" s="1" t="s">
        <v>668</v>
      </c>
      <c r="O50" s="1" t="s">
        <v>319</v>
      </c>
      <c r="P50" s="6" t="s">
        <v>47</v>
      </c>
      <c r="Q50" s="6" t="s">
        <v>180</v>
      </c>
      <c r="R50" s="2" t="s">
        <v>646</v>
      </c>
      <c r="S50" s="2" t="s">
        <v>338</v>
      </c>
      <c r="T50" s="2" t="s">
        <v>780</v>
      </c>
      <c r="U50" s="2" t="s">
        <v>728</v>
      </c>
      <c r="V50" s="6" t="s">
        <v>357</v>
      </c>
      <c r="W50" s="2" t="s">
        <v>677</v>
      </c>
    </row>
    <row r="51" spans="11:23" x14ac:dyDescent="0.25">
      <c r="K51" s="1" t="s">
        <v>223</v>
      </c>
      <c r="M51" s="1" t="s">
        <v>669</v>
      </c>
      <c r="O51" s="1" t="s">
        <v>320</v>
      </c>
      <c r="P51" s="6" t="s">
        <v>48</v>
      </c>
      <c r="Q51" s="6" t="s">
        <v>410</v>
      </c>
      <c r="R51" s="2" t="s">
        <v>388</v>
      </c>
      <c r="S51" s="2" t="s">
        <v>728</v>
      </c>
      <c r="T51" s="2" t="s">
        <v>781</v>
      </c>
      <c r="U51" s="2" t="s">
        <v>259</v>
      </c>
      <c r="V51" s="6" t="s">
        <v>45</v>
      </c>
      <c r="W51" s="2" t="s">
        <v>653</v>
      </c>
    </row>
    <row r="52" spans="11:23" x14ac:dyDescent="0.25">
      <c r="K52" s="1" t="s">
        <v>224</v>
      </c>
      <c r="M52" s="1" t="s">
        <v>670</v>
      </c>
      <c r="O52" s="1" t="s">
        <v>321</v>
      </c>
      <c r="P52" s="6" t="s">
        <v>49</v>
      </c>
      <c r="Q52" s="6" t="s">
        <v>707</v>
      </c>
      <c r="R52" s="2" t="s">
        <v>389</v>
      </c>
      <c r="S52" s="2" t="s">
        <v>259</v>
      </c>
      <c r="T52" s="2" t="s">
        <v>735</v>
      </c>
      <c r="U52" s="2" t="s">
        <v>248</v>
      </c>
      <c r="V52" s="6" t="s">
        <v>631</v>
      </c>
      <c r="W52" s="2" t="s">
        <v>664</v>
      </c>
    </row>
    <row r="53" spans="11:23" x14ac:dyDescent="0.25">
      <c r="K53" s="1" t="s">
        <v>225</v>
      </c>
      <c r="M53" s="1" t="s">
        <v>671</v>
      </c>
      <c r="O53" s="1" t="s">
        <v>322</v>
      </c>
      <c r="P53" s="6" t="s">
        <v>50</v>
      </c>
      <c r="Q53" s="6" t="s">
        <v>677</v>
      </c>
      <c r="R53" s="2" t="s">
        <v>634</v>
      </c>
      <c r="S53" s="2" t="s">
        <v>346</v>
      </c>
      <c r="T53" s="2" t="s">
        <v>89</v>
      </c>
      <c r="U53" s="2" t="s">
        <v>21</v>
      </c>
      <c r="V53" s="6" t="s">
        <v>31</v>
      </c>
      <c r="W53" s="2" t="s">
        <v>439</v>
      </c>
    </row>
    <row r="54" spans="11:23" x14ac:dyDescent="0.25">
      <c r="K54" s="1" t="s">
        <v>226</v>
      </c>
      <c r="M54" s="1" t="s">
        <v>245</v>
      </c>
      <c r="O54" s="1" t="s">
        <v>323</v>
      </c>
      <c r="P54" s="6" t="s">
        <v>51</v>
      </c>
      <c r="Q54" s="6" t="s">
        <v>664</v>
      </c>
      <c r="R54" s="2" t="s">
        <v>244</v>
      </c>
      <c r="S54" s="2" t="s">
        <v>348</v>
      </c>
      <c r="T54" s="2" t="s">
        <v>131</v>
      </c>
      <c r="U54" s="2" t="s">
        <v>354</v>
      </c>
      <c r="V54" s="6" t="s">
        <v>725</v>
      </c>
      <c r="W54" s="2" t="s">
        <v>34</v>
      </c>
    </row>
    <row r="55" spans="11:23" x14ac:dyDescent="0.25">
      <c r="K55" s="1" t="s">
        <v>227</v>
      </c>
      <c r="M55" s="1" t="s">
        <v>672</v>
      </c>
      <c r="O55" s="1" t="s">
        <v>324</v>
      </c>
      <c r="P55" s="6" t="s">
        <v>52</v>
      </c>
      <c r="Q55" s="6" t="s">
        <v>439</v>
      </c>
      <c r="R55" s="2" t="s">
        <v>18</v>
      </c>
      <c r="S55" s="2" t="s">
        <v>349</v>
      </c>
      <c r="T55" s="2" t="s">
        <v>312</v>
      </c>
      <c r="U55" s="2" t="s">
        <v>356</v>
      </c>
      <c r="V55" s="6" t="s">
        <v>71</v>
      </c>
      <c r="W55" s="2" t="s">
        <v>681</v>
      </c>
    </row>
    <row r="56" spans="11:23" x14ac:dyDescent="0.25">
      <c r="K56" s="1" t="s">
        <v>228</v>
      </c>
      <c r="M56" s="1" t="s">
        <v>673</v>
      </c>
      <c r="O56" s="1" t="s">
        <v>325</v>
      </c>
      <c r="P56" s="6" t="s">
        <v>53</v>
      </c>
      <c r="Q56" s="6" t="s">
        <v>448</v>
      </c>
      <c r="R56" s="2" t="s">
        <v>75</v>
      </c>
      <c r="S56" s="2" t="s">
        <v>102</v>
      </c>
      <c r="T56" s="2" t="s">
        <v>733</v>
      </c>
      <c r="U56" s="2" t="s">
        <v>357</v>
      </c>
      <c r="V56" s="6" t="s">
        <v>64</v>
      </c>
      <c r="W56" s="2" t="s">
        <v>779</v>
      </c>
    </row>
    <row r="57" spans="11:23" x14ac:dyDescent="0.25">
      <c r="K57" s="1" t="s">
        <v>229</v>
      </c>
      <c r="M57" s="1" t="s">
        <v>674</v>
      </c>
      <c r="O57" s="1" t="s">
        <v>326</v>
      </c>
      <c r="P57" s="6" t="s">
        <v>54</v>
      </c>
      <c r="Q57" s="6" t="s">
        <v>34</v>
      </c>
      <c r="R57" s="2" t="s">
        <v>180</v>
      </c>
      <c r="S57" s="2" t="s">
        <v>219</v>
      </c>
      <c r="T57" s="2" t="s">
        <v>313</v>
      </c>
      <c r="U57" s="2" t="s">
        <v>361</v>
      </c>
      <c r="V57" s="6" t="s">
        <v>379</v>
      </c>
      <c r="W57" s="2" t="s">
        <v>665</v>
      </c>
    </row>
    <row r="58" spans="11:23" x14ac:dyDescent="0.25">
      <c r="K58" s="1" t="s">
        <v>230</v>
      </c>
      <c r="M58" s="1" t="s">
        <v>675</v>
      </c>
      <c r="O58" s="1" t="s">
        <v>327</v>
      </c>
      <c r="P58" s="6" t="s">
        <v>55</v>
      </c>
      <c r="Q58" s="6" t="s">
        <v>681</v>
      </c>
      <c r="R58" s="2" t="s">
        <v>410</v>
      </c>
      <c r="S58" s="2" t="s">
        <v>352</v>
      </c>
      <c r="T58" s="2" t="s">
        <v>256</v>
      </c>
      <c r="U58" s="2" t="s">
        <v>45</v>
      </c>
      <c r="V58" s="6" t="s">
        <v>381</v>
      </c>
      <c r="W58" s="2" t="s">
        <v>473</v>
      </c>
    </row>
    <row r="59" spans="11:23" x14ac:dyDescent="0.25">
      <c r="K59" s="1" t="s">
        <v>231</v>
      </c>
      <c r="M59" s="1" t="s">
        <v>183</v>
      </c>
      <c r="O59" s="1" t="s">
        <v>328</v>
      </c>
      <c r="P59" s="6" t="s">
        <v>56</v>
      </c>
      <c r="Q59" s="6" t="s">
        <v>464</v>
      </c>
      <c r="R59" s="2" t="s">
        <v>707</v>
      </c>
      <c r="S59" s="2" t="s">
        <v>751</v>
      </c>
      <c r="T59" s="2" t="s">
        <v>211</v>
      </c>
      <c r="U59" s="2" t="s">
        <v>631</v>
      </c>
      <c r="V59" s="6" t="s">
        <v>726</v>
      </c>
      <c r="W59" s="2" t="s">
        <v>683</v>
      </c>
    </row>
    <row r="60" spans="11:23" x14ac:dyDescent="0.25">
      <c r="K60" s="1" t="s">
        <v>232</v>
      </c>
      <c r="M60" s="1" t="s">
        <v>676</v>
      </c>
      <c r="O60" s="1" t="s">
        <v>329</v>
      </c>
      <c r="P60" s="6" t="s">
        <v>57</v>
      </c>
      <c r="Q60" s="6" t="s">
        <v>779</v>
      </c>
      <c r="R60" s="2" t="s">
        <v>677</v>
      </c>
      <c r="S60" s="2" t="s">
        <v>21</v>
      </c>
      <c r="T60" s="2" t="s">
        <v>317</v>
      </c>
      <c r="U60" s="2" t="s">
        <v>31</v>
      </c>
      <c r="V60" s="6" t="s">
        <v>721</v>
      </c>
      <c r="W60" s="2" t="s">
        <v>187</v>
      </c>
    </row>
    <row r="61" spans="11:23" x14ac:dyDescent="0.25">
      <c r="K61" s="1" t="s">
        <v>233</v>
      </c>
      <c r="M61" s="1" t="s">
        <v>677</v>
      </c>
      <c r="O61" s="1" t="s">
        <v>330</v>
      </c>
      <c r="P61" s="6" t="s">
        <v>58</v>
      </c>
      <c r="Q61" s="6" t="s">
        <v>665</v>
      </c>
      <c r="R61" s="2" t="s">
        <v>653</v>
      </c>
      <c r="S61" s="2" t="s">
        <v>354</v>
      </c>
      <c r="T61" s="2" t="s">
        <v>318</v>
      </c>
      <c r="U61" s="2" t="s">
        <v>725</v>
      </c>
      <c r="V61" s="6" t="s">
        <v>661</v>
      </c>
      <c r="W61" s="2" t="s">
        <v>53</v>
      </c>
    </row>
    <row r="62" spans="11:23" x14ac:dyDescent="0.25">
      <c r="K62" s="1" t="s">
        <v>234</v>
      </c>
      <c r="M62" s="1" t="s">
        <v>678</v>
      </c>
      <c r="O62" s="1" t="s">
        <v>331</v>
      </c>
      <c r="P62" s="6" t="s">
        <v>59</v>
      </c>
      <c r="Q62" s="6" t="s">
        <v>702</v>
      </c>
      <c r="R62" s="2" t="s">
        <v>664</v>
      </c>
      <c r="S62" s="2" t="s">
        <v>356</v>
      </c>
      <c r="T62" s="2" t="s">
        <v>319</v>
      </c>
      <c r="U62" s="2" t="s">
        <v>371</v>
      </c>
      <c r="V62" s="6" t="s">
        <v>383</v>
      </c>
      <c r="W62" s="2" t="s">
        <v>8</v>
      </c>
    </row>
    <row r="63" spans="11:23" x14ac:dyDescent="0.25">
      <c r="K63" s="1" t="s">
        <v>235</v>
      </c>
      <c r="M63" s="1" t="s">
        <v>679</v>
      </c>
      <c r="O63" s="1" t="s">
        <v>332</v>
      </c>
      <c r="P63" s="6" t="s">
        <v>60</v>
      </c>
      <c r="Q63" s="6" t="s">
        <v>473</v>
      </c>
      <c r="R63" s="2" t="s">
        <v>439</v>
      </c>
      <c r="S63" s="2" t="s">
        <v>357</v>
      </c>
      <c r="T63" s="2" t="s">
        <v>321</v>
      </c>
      <c r="U63" s="2" t="s">
        <v>217</v>
      </c>
      <c r="V63" s="6" t="s">
        <v>646</v>
      </c>
      <c r="W63" s="2" t="s">
        <v>486</v>
      </c>
    </row>
    <row r="64" spans="11:23" x14ac:dyDescent="0.25">
      <c r="K64" s="1" t="s">
        <v>236</v>
      </c>
      <c r="M64" s="1" t="s">
        <v>680</v>
      </c>
      <c r="O64" s="1" t="s">
        <v>258</v>
      </c>
      <c r="P64" s="6" t="s">
        <v>61</v>
      </c>
      <c r="Q64" s="6" t="s">
        <v>683</v>
      </c>
      <c r="R64" s="2" t="s">
        <v>34</v>
      </c>
      <c r="S64" s="2" t="s">
        <v>753</v>
      </c>
      <c r="T64" s="2" t="s">
        <v>648</v>
      </c>
      <c r="U64" s="2" t="s">
        <v>381</v>
      </c>
      <c r="V64" s="6" t="s">
        <v>388</v>
      </c>
      <c r="W64" s="2" t="s">
        <v>0</v>
      </c>
    </row>
    <row r="65" spans="11:23" x14ac:dyDescent="0.25">
      <c r="K65" s="1" t="s">
        <v>237</v>
      </c>
      <c r="M65" s="1" t="s">
        <v>681</v>
      </c>
      <c r="O65" s="1" t="s">
        <v>333</v>
      </c>
      <c r="P65" s="6" t="s">
        <v>62</v>
      </c>
      <c r="Q65" s="6" t="s">
        <v>187</v>
      </c>
      <c r="R65" s="2" t="s">
        <v>681</v>
      </c>
      <c r="S65" s="2" t="s">
        <v>360</v>
      </c>
      <c r="T65" s="2" t="s">
        <v>748</v>
      </c>
      <c r="U65" s="2" t="s">
        <v>726</v>
      </c>
      <c r="V65" s="6" t="s">
        <v>389</v>
      </c>
      <c r="W65" s="2" t="s">
        <v>488</v>
      </c>
    </row>
    <row r="66" spans="11:23" x14ac:dyDescent="0.25">
      <c r="K66" s="1" t="s">
        <v>238</v>
      </c>
      <c r="M66" s="1" t="s">
        <v>682</v>
      </c>
      <c r="O66" s="1" t="s">
        <v>334</v>
      </c>
      <c r="P66" s="6" t="s">
        <v>63</v>
      </c>
      <c r="Q66" s="6" t="s">
        <v>53</v>
      </c>
      <c r="R66" s="2" t="s">
        <v>643</v>
      </c>
      <c r="S66" s="2" t="s">
        <v>362</v>
      </c>
      <c r="T66" s="2" t="s">
        <v>324</v>
      </c>
      <c r="U66" s="2" t="s">
        <v>721</v>
      </c>
      <c r="V66" s="6" t="s">
        <v>634</v>
      </c>
      <c r="W66" s="2" t="s">
        <v>492</v>
      </c>
    </row>
    <row r="67" spans="11:23" x14ac:dyDescent="0.25">
      <c r="K67" s="1" t="s">
        <v>239</v>
      </c>
      <c r="M67" s="1" t="s">
        <v>683</v>
      </c>
      <c r="O67" s="1" t="s">
        <v>335</v>
      </c>
      <c r="P67" s="6" t="s">
        <v>64</v>
      </c>
      <c r="Q67" s="6" t="s">
        <v>8</v>
      </c>
      <c r="R67" s="2" t="s">
        <v>779</v>
      </c>
      <c r="S67" s="2" t="s">
        <v>45</v>
      </c>
      <c r="T67" s="2" t="s">
        <v>151</v>
      </c>
      <c r="U67" s="2" t="s">
        <v>661</v>
      </c>
      <c r="V67" s="6" t="s">
        <v>244</v>
      </c>
      <c r="W67" s="2" t="s">
        <v>494</v>
      </c>
    </row>
    <row r="68" spans="11:23" x14ac:dyDescent="0.25">
      <c r="K68" s="1" t="s">
        <v>240</v>
      </c>
      <c r="M68" s="1" t="s">
        <v>684</v>
      </c>
      <c r="O68" s="1" t="s">
        <v>336</v>
      </c>
      <c r="P68" s="6" t="s">
        <v>65</v>
      </c>
      <c r="Q68" s="6" t="s">
        <v>486</v>
      </c>
      <c r="R68" s="2" t="s">
        <v>665</v>
      </c>
      <c r="S68" s="2" t="s">
        <v>631</v>
      </c>
      <c r="T68" s="2" t="s">
        <v>327</v>
      </c>
      <c r="U68" s="2" t="s">
        <v>383</v>
      </c>
      <c r="V68" s="6" t="s">
        <v>400</v>
      </c>
      <c r="W68" s="2" t="s">
        <v>516</v>
      </c>
    </row>
    <row r="69" spans="11:23" x14ac:dyDescent="0.25">
      <c r="K69" s="1" t="s">
        <v>241</v>
      </c>
      <c r="M69" s="1" t="s">
        <v>685</v>
      </c>
      <c r="O69" s="1" t="s">
        <v>337</v>
      </c>
      <c r="P69" s="6" t="s">
        <v>66</v>
      </c>
      <c r="Q69" s="6" t="s">
        <v>0</v>
      </c>
      <c r="R69" s="2" t="s">
        <v>683</v>
      </c>
      <c r="S69" s="2" t="s">
        <v>31</v>
      </c>
      <c r="T69" s="2" t="s">
        <v>759</v>
      </c>
      <c r="U69" s="2" t="s">
        <v>646</v>
      </c>
      <c r="V69" s="6" t="s">
        <v>18</v>
      </c>
      <c r="W69" s="2" t="s">
        <v>695</v>
      </c>
    </row>
    <row r="70" spans="11:23" x14ac:dyDescent="0.25">
      <c r="K70" s="1" t="s">
        <v>155</v>
      </c>
      <c r="M70" s="1" t="s">
        <v>686</v>
      </c>
      <c r="O70" s="1" t="s">
        <v>338</v>
      </c>
      <c r="P70" s="6" t="s">
        <v>67</v>
      </c>
      <c r="Q70" s="6" t="s">
        <v>488</v>
      </c>
      <c r="R70" s="2" t="s">
        <v>187</v>
      </c>
      <c r="S70" s="2" t="s">
        <v>364</v>
      </c>
      <c r="T70" s="2" t="s">
        <v>662</v>
      </c>
      <c r="U70" s="2" t="s">
        <v>388</v>
      </c>
      <c r="V70" s="6" t="s">
        <v>734</v>
      </c>
      <c r="W70" s="2" t="s">
        <v>242</v>
      </c>
    </row>
    <row r="71" spans="11:23" x14ac:dyDescent="0.25">
      <c r="K71" s="1" t="s">
        <v>143</v>
      </c>
      <c r="M71" s="1" t="s">
        <v>687</v>
      </c>
      <c r="O71" s="1" t="s">
        <v>339</v>
      </c>
      <c r="P71" s="6" t="s">
        <v>68</v>
      </c>
      <c r="Q71" s="6" t="s">
        <v>494</v>
      </c>
      <c r="R71" s="2" t="s">
        <v>53</v>
      </c>
      <c r="S71" s="2" t="s">
        <v>725</v>
      </c>
      <c r="T71" s="2" t="s">
        <v>330</v>
      </c>
      <c r="U71" s="2" t="s">
        <v>389</v>
      </c>
      <c r="V71" s="6" t="s">
        <v>405</v>
      </c>
      <c r="W71" s="2" t="s">
        <v>760</v>
      </c>
    </row>
    <row r="72" spans="11:23" x14ac:dyDescent="0.25">
      <c r="K72" s="1" t="s">
        <v>149</v>
      </c>
      <c r="M72" s="1" t="s">
        <v>688</v>
      </c>
      <c r="O72" s="1" t="s">
        <v>340</v>
      </c>
      <c r="P72" s="6" t="s">
        <v>69</v>
      </c>
      <c r="Q72" s="6" t="s">
        <v>687</v>
      </c>
      <c r="R72" s="2" t="s">
        <v>481</v>
      </c>
      <c r="S72" s="2" t="s">
        <v>71</v>
      </c>
      <c r="T72" s="2" t="s">
        <v>776</v>
      </c>
      <c r="U72" s="2" t="s">
        <v>391</v>
      </c>
      <c r="V72" s="6" t="s">
        <v>75</v>
      </c>
      <c r="W72" s="2" t="s">
        <v>174</v>
      </c>
    </row>
    <row r="73" spans="11:23" x14ac:dyDescent="0.25">
      <c r="K73" s="1" t="s">
        <v>4</v>
      </c>
      <c r="M73" s="1" t="s">
        <v>689</v>
      </c>
      <c r="O73" s="1" t="s">
        <v>341</v>
      </c>
      <c r="P73" s="6" t="s">
        <v>70</v>
      </c>
      <c r="Q73" s="6" t="s">
        <v>744</v>
      </c>
      <c r="R73" s="2" t="s">
        <v>8</v>
      </c>
      <c r="S73" s="2" t="s">
        <v>368</v>
      </c>
      <c r="T73" s="2" t="s">
        <v>243</v>
      </c>
      <c r="U73" s="2" t="s">
        <v>634</v>
      </c>
      <c r="V73" s="6" t="s">
        <v>697</v>
      </c>
      <c r="W73" s="2" t="s">
        <v>533</v>
      </c>
    </row>
    <row r="74" spans="11:23" x14ac:dyDescent="0.25">
      <c r="K74" s="1" t="s">
        <v>150</v>
      </c>
      <c r="M74" s="1" t="s">
        <v>690</v>
      </c>
      <c r="O74" s="1" t="s">
        <v>342</v>
      </c>
      <c r="P74" s="6" t="s">
        <v>71</v>
      </c>
      <c r="Q74" s="6" t="s">
        <v>516</v>
      </c>
      <c r="R74" s="2" t="s">
        <v>0</v>
      </c>
      <c r="S74" s="2" t="s">
        <v>64</v>
      </c>
      <c r="T74" s="2" t="s">
        <v>192</v>
      </c>
      <c r="U74" s="2" t="s">
        <v>696</v>
      </c>
      <c r="V74" s="6" t="s">
        <v>679</v>
      </c>
      <c r="W74" s="2" t="s">
        <v>178</v>
      </c>
    </row>
    <row r="75" spans="11:23" x14ac:dyDescent="0.25">
      <c r="K75" s="1" t="s">
        <v>71</v>
      </c>
      <c r="M75" s="1" t="s">
        <v>691</v>
      </c>
      <c r="O75" s="1" t="s">
        <v>132</v>
      </c>
      <c r="P75" s="6" t="s">
        <v>72</v>
      </c>
      <c r="Q75" s="6" t="s">
        <v>695</v>
      </c>
      <c r="R75" s="2" t="s">
        <v>488</v>
      </c>
      <c r="S75" s="2" t="s">
        <v>375</v>
      </c>
      <c r="T75" s="2" t="s">
        <v>332</v>
      </c>
      <c r="U75" s="2" t="s">
        <v>244</v>
      </c>
      <c r="V75" s="6" t="s">
        <v>261</v>
      </c>
      <c r="W75" s="2" t="s">
        <v>756</v>
      </c>
    </row>
    <row r="76" spans="11:23" x14ac:dyDescent="0.25">
      <c r="K76" s="1" t="s">
        <v>151</v>
      </c>
      <c r="M76" s="1" t="s">
        <v>246</v>
      </c>
      <c r="O76" s="1" t="s">
        <v>343</v>
      </c>
      <c r="P76" s="6" t="s">
        <v>73</v>
      </c>
      <c r="Q76" s="6" t="s">
        <v>760</v>
      </c>
      <c r="R76" s="2" t="s">
        <v>492</v>
      </c>
      <c r="S76" s="2" t="s">
        <v>659</v>
      </c>
      <c r="T76" s="2" t="s">
        <v>258</v>
      </c>
      <c r="U76" s="2" t="s">
        <v>400</v>
      </c>
      <c r="V76" s="6" t="s">
        <v>180</v>
      </c>
      <c r="W76" s="2" t="s">
        <v>138</v>
      </c>
    </row>
    <row r="77" spans="11:23" x14ac:dyDescent="0.25">
      <c r="K77" s="1" t="s">
        <v>8</v>
      </c>
      <c r="M77" s="1" t="s">
        <v>692</v>
      </c>
      <c r="O77" s="1" t="s">
        <v>344</v>
      </c>
      <c r="P77" s="6" t="s">
        <v>74</v>
      </c>
      <c r="Q77" s="6" t="s">
        <v>174</v>
      </c>
      <c r="R77" s="2" t="s">
        <v>754</v>
      </c>
      <c r="S77" s="2" t="s">
        <v>377</v>
      </c>
      <c r="T77" s="2" t="s">
        <v>333</v>
      </c>
      <c r="U77" s="2" t="s">
        <v>722</v>
      </c>
      <c r="V77" s="6" t="s">
        <v>410</v>
      </c>
      <c r="W77" s="2" t="s">
        <v>645</v>
      </c>
    </row>
    <row r="78" spans="11:23" x14ac:dyDescent="0.25">
      <c r="K78" s="1" t="s">
        <v>0</v>
      </c>
      <c r="M78" s="1" t="s">
        <v>411</v>
      </c>
      <c r="O78" s="1" t="s">
        <v>345</v>
      </c>
      <c r="P78" s="6" t="s">
        <v>75</v>
      </c>
      <c r="Q78" s="6" t="s">
        <v>533</v>
      </c>
      <c r="R78" s="2" t="s">
        <v>499</v>
      </c>
      <c r="S78" s="2" t="s">
        <v>379</v>
      </c>
      <c r="T78" s="2" t="s">
        <v>78</v>
      </c>
      <c r="U78" s="2" t="s">
        <v>18</v>
      </c>
      <c r="V78" s="6" t="s">
        <v>707</v>
      </c>
      <c r="W78" s="2" t="s">
        <v>266</v>
      </c>
    </row>
    <row r="79" spans="11:23" x14ac:dyDescent="0.25">
      <c r="M79" s="1" t="s">
        <v>693</v>
      </c>
      <c r="O79" s="1" t="s">
        <v>346</v>
      </c>
      <c r="P79" s="6" t="s">
        <v>76</v>
      </c>
      <c r="Q79" s="6" t="s">
        <v>178</v>
      </c>
      <c r="R79" s="2" t="s">
        <v>516</v>
      </c>
      <c r="S79" s="2" t="s">
        <v>381</v>
      </c>
      <c r="T79" s="2" t="s">
        <v>724</v>
      </c>
      <c r="U79" s="2" t="s">
        <v>734</v>
      </c>
      <c r="V79" s="6" t="s">
        <v>677</v>
      </c>
      <c r="W79" s="2" t="s">
        <v>547</v>
      </c>
    </row>
    <row r="80" spans="11:23" x14ac:dyDescent="0.25">
      <c r="M80" s="1" t="s">
        <v>694</v>
      </c>
      <c r="O80" s="1" t="s">
        <v>347</v>
      </c>
      <c r="P80" s="6" t="s">
        <v>77</v>
      </c>
      <c r="Q80" s="6" t="s">
        <v>38</v>
      </c>
      <c r="R80" s="2" t="s">
        <v>650</v>
      </c>
      <c r="S80" s="2" t="s">
        <v>14</v>
      </c>
      <c r="T80" s="2" t="s">
        <v>335</v>
      </c>
      <c r="U80" s="2" t="s">
        <v>405</v>
      </c>
      <c r="V80" s="6" t="s">
        <v>413</v>
      </c>
      <c r="W80" s="2" t="s">
        <v>688</v>
      </c>
    </row>
    <row r="81" spans="13:23" x14ac:dyDescent="0.25">
      <c r="M81" s="1" t="s">
        <v>185</v>
      </c>
      <c r="O81" s="1" t="s">
        <v>348</v>
      </c>
      <c r="P81" s="6" t="s">
        <v>78</v>
      </c>
      <c r="Q81" s="6" t="s">
        <v>138</v>
      </c>
      <c r="R81" s="2" t="s">
        <v>242</v>
      </c>
      <c r="S81" s="2" t="s">
        <v>726</v>
      </c>
      <c r="T81" s="2" t="s">
        <v>176</v>
      </c>
      <c r="U81" s="2" t="s">
        <v>75</v>
      </c>
      <c r="V81" s="6" t="s">
        <v>653</v>
      </c>
      <c r="W81" s="2" t="s">
        <v>197</v>
      </c>
    </row>
    <row r="82" spans="13:23" x14ac:dyDescent="0.25">
      <c r="M82" s="1" t="s">
        <v>695</v>
      </c>
      <c r="O82" s="1" t="s">
        <v>349</v>
      </c>
      <c r="P82" s="6" t="s">
        <v>79</v>
      </c>
      <c r="Q82" s="6" t="s">
        <v>645</v>
      </c>
      <c r="R82" s="2" t="s">
        <v>760</v>
      </c>
      <c r="S82" s="2" t="s">
        <v>721</v>
      </c>
      <c r="T82" s="2" t="s">
        <v>337</v>
      </c>
      <c r="U82" s="2" t="s">
        <v>679</v>
      </c>
      <c r="V82" s="6" t="s">
        <v>664</v>
      </c>
      <c r="W82" s="2" t="s">
        <v>703</v>
      </c>
    </row>
    <row r="83" spans="13:23" x14ac:dyDescent="0.25">
      <c r="M83" s="1" t="s">
        <v>696</v>
      </c>
      <c r="O83" s="1" t="s">
        <v>350</v>
      </c>
      <c r="P83" s="6" t="s">
        <v>80</v>
      </c>
      <c r="Q83" s="6" t="s">
        <v>266</v>
      </c>
      <c r="R83" s="2" t="s">
        <v>174</v>
      </c>
      <c r="S83" s="2" t="s">
        <v>661</v>
      </c>
      <c r="T83" s="2" t="s">
        <v>338</v>
      </c>
      <c r="U83" s="2" t="s">
        <v>261</v>
      </c>
      <c r="V83" s="6" t="s">
        <v>439</v>
      </c>
      <c r="W83" s="2" t="s">
        <v>652</v>
      </c>
    </row>
    <row r="84" spans="13:23" x14ac:dyDescent="0.25">
      <c r="M84" s="1" t="s">
        <v>697</v>
      </c>
      <c r="O84" s="1" t="s">
        <v>351</v>
      </c>
      <c r="P84" s="6" t="s">
        <v>81</v>
      </c>
      <c r="Q84" s="6" t="s">
        <v>547</v>
      </c>
      <c r="R84" s="2" t="s">
        <v>533</v>
      </c>
      <c r="S84" s="2" t="s">
        <v>646</v>
      </c>
      <c r="T84" s="2" t="s">
        <v>728</v>
      </c>
      <c r="U84" s="2" t="s">
        <v>180</v>
      </c>
      <c r="V84" s="6" t="s">
        <v>91</v>
      </c>
      <c r="W84" s="2" t="s">
        <v>572</v>
      </c>
    </row>
    <row r="85" spans="13:23" x14ac:dyDescent="0.25">
      <c r="M85" s="1" t="s">
        <v>698</v>
      </c>
      <c r="O85" s="1" t="s">
        <v>352</v>
      </c>
      <c r="P85" s="6" t="s">
        <v>82</v>
      </c>
      <c r="Q85" s="6" t="s">
        <v>638</v>
      </c>
      <c r="R85" s="2" t="s">
        <v>178</v>
      </c>
      <c r="S85" s="2" t="s">
        <v>388</v>
      </c>
      <c r="T85" s="2" t="s">
        <v>100</v>
      </c>
      <c r="U85" s="2" t="s">
        <v>410</v>
      </c>
      <c r="V85" s="6" t="s">
        <v>34</v>
      </c>
      <c r="W85" s="2" t="s">
        <v>591</v>
      </c>
    </row>
    <row r="86" spans="13:23" x14ac:dyDescent="0.25">
      <c r="M86" s="1" t="s">
        <v>187</v>
      </c>
      <c r="O86" s="1" t="s">
        <v>353</v>
      </c>
      <c r="P86" s="6" t="s">
        <v>83</v>
      </c>
      <c r="Q86" s="6" t="s">
        <v>197</v>
      </c>
      <c r="R86" s="2" t="s">
        <v>756</v>
      </c>
      <c r="S86" s="2" t="s">
        <v>389</v>
      </c>
      <c r="T86" s="2" t="s">
        <v>342</v>
      </c>
      <c r="U86" s="2" t="s">
        <v>707</v>
      </c>
      <c r="V86" s="6" t="s">
        <v>681</v>
      </c>
      <c r="W86" s="2" t="s">
        <v>680</v>
      </c>
    </row>
    <row r="87" spans="13:23" x14ac:dyDescent="0.25">
      <c r="M87" s="1" t="s">
        <v>699</v>
      </c>
      <c r="O87" s="1" t="s">
        <v>354</v>
      </c>
      <c r="P87" s="6" t="s">
        <v>84</v>
      </c>
      <c r="Q87" s="6" t="s">
        <v>703</v>
      </c>
      <c r="R87" s="2" t="s">
        <v>208</v>
      </c>
      <c r="S87" s="2" t="s">
        <v>708</v>
      </c>
      <c r="T87" s="2" t="s">
        <v>346</v>
      </c>
      <c r="U87" s="2" t="s">
        <v>677</v>
      </c>
      <c r="V87" s="6" t="s">
        <v>779</v>
      </c>
      <c r="W87" s="2" t="s">
        <v>786</v>
      </c>
    </row>
    <row r="88" spans="13:23" x14ac:dyDescent="0.25">
      <c r="M88" s="1" t="s">
        <v>700</v>
      </c>
      <c r="O88" s="1" t="s">
        <v>355</v>
      </c>
      <c r="P88" s="6" t="s">
        <v>85</v>
      </c>
      <c r="Q88" s="6" t="s">
        <v>771</v>
      </c>
      <c r="R88" s="2" t="s">
        <v>137</v>
      </c>
      <c r="S88" s="2" t="s">
        <v>90</v>
      </c>
      <c r="T88" s="2" t="s">
        <v>347</v>
      </c>
      <c r="U88" s="2" t="s">
        <v>413</v>
      </c>
      <c r="V88" s="6" t="s">
        <v>665</v>
      </c>
      <c r="W88" s="2" t="s">
        <v>109</v>
      </c>
    </row>
    <row r="89" spans="13:23" x14ac:dyDescent="0.25">
      <c r="M89" s="1" t="s">
        <v>701</v>
      </c>
      <c r="O89" s="1" t="s">
        <v>356</v>
      </c>
      <c r="P89" s="6" t="s">
        <v>86</v>
      </c>
      <c r="Q89" s="6" t="s">
        <v>652</v>
      </c>
      <c r="R89" s="2" t="s">
        <v>138</v>
      </c>
      <c r="S89" s="2" t="s">
        <v>634</v>
      </c>
      <c r="T89" s="2" t="s">
        <v>63</v>
      </c>
      <c r="U89" s="2" t="s">
        <v>414</v>
      </c>
      <c r="V89" s="6" t="s">
        <v>473</v>
      </c>
      <c r="W89" s="2" t="s">
        <v>597</v>
      </c>
    </row>
    <row r="90" spans="13:23" x14ac:dyDescent="0.25">
      <c r="M90" s="1" t="s">
        <v>702</v>
      </c>
      <c r="O90" s="1" t="s">
        <v>357</v>
      </c>
      <c r="P90" s="6" t="s">
        <v>87</v>
      </c>
      <c r="Q90" s="6" t="s">
        <v>572</v>
      </c>
      <c r="R90" s="2" t="s">
        <v>645</v>
      </c>
      <c r="S90" s="2" t="s">
        <v>5</v>
      </c>
      <c r="T90" s="2" t="s">
        <v>248</v>
      </c>
      <c r="U90" s="2" t="s">
        <v>653</v>
      </c>
      <c r="V90" s="6" t="s">
        <v>683</v>
      </c>
      <c r="W90" s="2" t="s">
        <v>649</v>
      </c>
    </row>
    <row r="91" spans="13:23" x14ac:dyDescent="0.25">
      <c r="M91" s="1" t="s">
        <v>703</v>
      </c>
      <c r="O91" s="1" t="s">
        <v>358</v>
      </c>
      <c r="P91" s="6" t="s">
        <v>88</v>
      </c>
      <c r="Q91" s="6" t="s">
        <v>224</v>
      </c>
      <c r="R91" s="2" t="s">
        <v>162</v>
      </c>
      <c r="S91" s="2" t="s">
        <v>244</v>
      </c>
      <c r="T91" s="2" t="s">
        <v>348</v>
      </c>
      <c r="U91" s="2" t="s">
        <v>420</v>
      </c>
      <c r="V91" s="6" t="s">
        <v>187</v>
      </c>
      <c r="W91" s="2" t="s">
        <v>694</v>
      </c>
    </row>
    <row r="92" spans="13:23" x14ac:dyDescent="0.25">
      <c r="M92" s="1" t="s">
        <v>704</v>
      </c>
      <c r="O92" s="1" t="s">
        <v>359</v>
      </c>
      <c r="P92" s="6" t="s">
        <v>89</v>
      </c>
      <c r="Q92" s="6" t="s">
        <v>591</v>
      </c>
      <c r="R92" s="2" t="s">
        <v>266</v>
      </c>
      <c r="S92" s="2" t="s">
        <v>396</v>
      </c>
      <c r="T92" s="2" t="s">
        <v>222</v>
      </c>
      <c r="U92" s="2" t="s">
        <v>664</v>
      </c>
      <c r="V92" s="6" t="s">
        <v>53</v>
      </c>
      <c r="W92" s="2" t="s">
        <v>39</v>
      </c>
    </row>
    <row r="93" spans="13:23" x14ac:dyDescent="0.25">
      <c r="M93" s="1" t="s">
        <v>705</v>
      </c>
      <c r="O93" s="1" t="s">
        <v>360</v>
      </c>
      <c r="P93" s="6" t="s">
        <v>90</v>
      </c>
      <c r="Q93" s="6" t="s">
        <v>680</v>
      </c>
      <c r="R93" s="2" t="s">
        <v>547</v>
      </c>
      <c r="S93" s="2" t="s">
        <v>400</v>
      </c>
      <c r="T93" s="2" t="s">
        <v>102</v>
      </c>
      <c r="U93" s="2" t="s">
        <v>711</v>
      </c>
      <c r="V93" s="6" t="s">
        <v>477</v>
      </c>
      <c r="W93" s="2" t="s">
        <v>755</v>
      </c>
    </row>
    <row r="94" spans="13:23" x14ac:dyDescent="0.25">
      <c r="M94" s="1" t="s">
        <v>706</v>
      </c>
      <c r="O94" s="1" t="s">
        <v>361</v>
      </c>
      <c r="P94" s="6" t="s">
        <v>91</v>
      </c>
      <c r="Q94" s="6" t="s">
        <v>786</v>
      </c>
      <c r="R94" s="2" t="s">
        <v>548</v>
      </c>
      <c r="S94" s="2" t="s">
        <v>18</v>
      </c>
      <c r="T94" s="2" t="s">
        <v>351</v>
      </c>
      <c r="U94" s="2" t="s">
        <v>439</v>
      </c>
      <c r="V94" s="6" t="s">
        <v>481</v>
      </c>
    </row>
    <row r="95" spans="13:23" x14ac:dyDescent="0.25">
      <c r="M95" s="1" t="s">
        <v>707</v>
      </c>
      <c r="O95" s="1" t="s">
        <v>362</v>
      </c>
      <c r="P95" s="6" t="s">
        <v>92</v>
      </c>
      <c r="Q95" s="6" t="s">
        <v>109</v>
      </c>
      <c r="R95" s="2" t="s">
        <v>688</v>
      </c>
      <c r="S95" s="2" t="s">
        <v>734</v>
      </c>
      <c r="T95" s="2" t="s">
        <v>693</v>
      </c>
      <c r="U95" s="2" t="s">
        <v>91</v>
      </c>
      <c r="V95" s="6" t="s">
        <v>8</v>
      </c>
    </row>
    <row r="96" spans="13:23" x14ac:dyDescent="0.25">
      <c r="M96" s="1" t="s">
        <v>708</v>
      </c>
      <c r="O96" s="1" t="s">
        <v>363</v>
      </c>
      <c r="P96" s="6" t="s">
        <v>93</v>
      </c>
      <c r="Q96" s="6" t="s">
        <v>597</v>
      </c>
      <c r="R96" s="2" t="s">
        <v>197</v>
      </c>
      <c r="S96" s="2" t="s">
        <v>405</v>
      </c>
      <c r="T96" s="2" t="s">
        <v>352</v>
      </c>
      <c r="U96" s="2" t="s">
        <v>188</v>
      </c>
      <c r="V96" s="6" t="s">
        <v>486</v>
      </c>
    </row>
    <row r="97" spans="13:22" x14ac:dyDescent="0.25">
      <c r="M97" s="1" t="s">
        <v>247</v>
      </c>
      <c r="O97" s="1" t="s">
        <v>364</v>
      </c>
      <c r="P97" s="6" t="s">
        <v>94</v>
      </c>
      <c r="Q97" s="6" t="s">
        <v>604</v>
      </c>
      <c r="R97" s="2" t="s">
        <v>703</v>
      </c>
      <c r="S97" s="2" t="s">
        <v>697</v>
      </c>
      <c r="T97" s="2" t="s">
        <v>21</v>
      </c>
      <c r="U97" s="2" t="s">
        <v>775</v>
      </c>
      <c r="V97" s="6" t="s">
        <v>0</v>
      </c>
    </row>
    <row r="98" spans="13:22" x14ac:dyDescent="0.25">
      <c r="M98" s="1" t="s">
        <v>709</v>
      </c>
      <c r="O98" s="1" t="s">
        <v>365</v>
      </c>
      <c r="P98" s="6" t="s">
        <v>95</v>
      </c>
      <c r="Q98" s="6" t="s">
        <v>649</v>
      </c>
      <c r="R98" s="2" t="s">
        <v>639</v>
      </c>
      <c r="S98" s="2" t="s">
        <v>679</v>
      </c>
      <c r="T98" s="2" t="s">
        <v>354</v>
      </c>
      <c r="U98" s="2" t="s">
        <v>454</v>
      </c>
      <c r="V98" s="6" t="s">
        <v>488</v>
      </c>
    </row>
    <row r="99" spans="13:22" x14ac:dyDescent="0.25">
      <c r="M99" s="1" t="s">
        <v>710</v>
      </c>
      <c r="O99" s="1" t="s">
        <v>366</v>
      </c>
      <c r="P99" s="6" t="s">
        <v>96</v>
      </c>
      <c r="Q99" s="6" t="s">
        <v>39</v>
      </c>
      <c r="R99" s="2" t="s">
        <v>652</v>
      </c>
      <c r="S99" s="2" t="s">
        <v>261</v>
      </c>
      <c r="T99" s="2" t="s">
        <v>356</v>
      </c>
      <c r="U99" s="2" t="s">
        <v>34</v>
      </c>
      <c r="V99" s="6" t="s">
        <v>492</v>
      </c>
    </row>
    <row r="100" spans="13:22" x14ac:dyDescent="0.25">
      <c r="M100" s="1" t="s">
        <v>711</v>
      </c>
      <c r="O100" s="1" t="s">
        <v>367</v>
      </c>
      <c r="P100" s="6" t="s">
        <v>97</v>
      </c>
      <c r="Q100" s="6" t="s">
        <v>617</v>
      </c>
      <c r="R100" s="2" t="s">
        <v>572</v>
      </c>
      <c r="S100" s="2" t="s">
        <v>180</v>
      </c>
      <c r="T100" s="2" t="s">
        <v>357</v>
      </c>
      <c r="U100" s="2" t="s">
        <v>715</v>
      </c>
      <c r="V100" s="6" t="s">
        <v>494</v>
      </c>
    </row>
    <row r="101" spans="13:22" x14ac:dyDescent="0.25">
      <c r="M101" s="1" t="s">
        <v>712</v>
      </c>
      <c r="O101" s="1" t="s">
        <v>368</v>
      </c>
      <c r="P101" s="6" t="s">
        <v>98</v>
      </c>
      <c r="Q101" s="6" t="s">
        <v>141</v>
      </c>
      <c r="R101" s="2" t="s">
        <v>84</v>
      </c>
      <c r="S101" s="2" t="s">
        <v>410</v>
      </c>
      <c r="T101" s="2" t="s">
        <v>752</v>
      </c>
      <c r="U101" s="2" t="s">
        <v>1</v>
      </c>
      <c r="V101" s="6" t="s">
        <v>687</v>
      </c>
    </row>
    <row r="102" spans="13:22" x14ac:dyDescent="0.25">
      <c r="M102" s="1" t="s">
        <v>713</v>
      </c>
      <c r="O102" s="1" t="s">
        <v>369</v>
      </c>
      <c r="P102" s="6" t="s">
        <v>99</v>
      </c>
      <c r="Q102" s="6" t="s">
        <v>755</v>
      </c>
      <c r="R102" s="2" t="s">
        <v>723</v>
      </c>
      <c r="S102" s="2" t="s">
        <v>707</v>
      </c>
      <c r="T102" s="2" t="s">
        <v>4</v>
      </c>
      <c r="U102" s="2" t="s">
        <v>681</v>
      </c>
      <c r="V102" s="6" t="s">
        <v>499</v>
      </c>
    </row>
    <row r="103" spans="13:22" x14ac:dyDescent="0.25">
      <c r="M103" s="1" t="s">
        <v>714</v>
      </c>
      <c r="O103" s="1" t="s">
        <v>370</v>
      </c>
      <c r="P103" s="6" t="s">
        <v>100</v>
      </c>
      <c r="R103" s="2" t="s">
        <v>224</v>
      </c>
      <c r="S103" s="2" t="s">
        <v>249</v>
      </c>
      <c r="T103" s="2" t="s">
        <v>361</v>
      </c>
      <c r="U103" s="2" t="s">
        <v>643</v>
      </c>
      <c r="V103" s="6" t="s">
        <v>744</v>
      </c>
    </row>
    <row r="104" spans="13:22" x14ac:dyDescent="0.25">
      <c r="M104" s="1" t="s">
        <v>715</v>
      </c>
      <c r="O104" s="1" t="s">
        <v>371</v>
      </c>
      <c r="P104" s="6" t="s">
        <v>101</v>
      </c>
      <c r="R104" s="2" t="s">
        <v>588</v>
      </c>
      <c r="S104" s="2" t="s">
        <v>677</v>
      </c>
      <c r="T104" s="2" t="s">
        <v>168</v>
      </c>
      <c r="U104" s="2" t="s">
        <v>122</v>
      </c>
      <c r="V104" s="6" t="s">
        <v>516</v>
      </c>
    </row>
    <row r="105" spans="13:22" x14ac:dyDescent="0.25">
      <c r="M105" s="1" t="s">
        <v>716</v>
      </c>
      <c r="O105" s="1" t="s">
        <v>372</v>
      </c>
      <c r="P105" s="6" t="s">
        <v>102</v>
      </c>
      <c r="R105" s="2" t="s">
        <v>591</v>
      </c>
      <c r="S105" s="2" t="s">
        <v>413</v>
      </c>
      <c r="T105" s="2" t="s">
        <v>225</v>
      </c>
      <c r="U105" s="2" t="s">
        <v>461</v>
      </c>
      <c r="V105" s="6" t="s">
        <v>695</v>
      </c>
    </row>
    <row r="106" spans="13:22" x14ac:dyDescent="0.25">
      <c r="M106" s="1" t="s">
        <v>191</v>
      </c>
      <c r="O106" s="1" t="s">
        <v>373</v>
      </c>
      <c r="P106" s="6" t="s">
        <v>103</v>
      </c>
      <c r="R106" s="2" t="s">
        <v>680</v>
      </c>
      <c r="S106" s="2" t="s">
        <v>414</v>
      </c>
      <c r="T106" s="2" t="s">
        <v>737</v>
      </c>
      <c r="U106" s="2" t="s">
        <v>463</v>
      </c>
      <c r="V106" s="6" t="s">
        <v>650</v>
      </c>
    </row>
    <row r="107" spans="13:22" x14ac:dyDescent="0.25">
      <c r="M107" s="1" t="s">
        <v>248</v>
      </c>
      <c r="O107" s="1" t="s">
        <v>374</v>
      </c>
      <c r="P107" s="6" t="s">
        <v>104</v>
      </c>
      <c r="R107" s="2" t="s">
        <v>731</v>
      </c>
      <c r="S107" s="2" t="s">
        <v>653</v>
      </c>
      <c r="T107" s="2" t="s">
        <v>362</v>
      </c>
      <c r="U107" s="2" t="s">
        <v>465</v>
      </c>
      <c r="V107" s="6" t="s">
        <v>242</v>
      </c>
    </row>
    <row r="108" spans="13:22" x14ac:dyDescent="0.25">
      <c r="M108" s="1" t="s">
        <v>717</v>
      </c>
      <c r="O108" s="1" t="s">
        <v>375</v>
      </c>
      <c r="P108" s="6" t="s">
        <v>105</v>
      </c>
      <c r="R108" s="2" t="s">
        <v>786</v>
      </c>
      <c r="S108" s="2" t="s">
        <v>664</v>
      </c>
      <c r="T108" s="2" t="s">
        <v>45</v>
      </c>
      <c r="U108" s="2" t="s">
        <v>779</v>
      </c>
      <c r="V108" s="6" t="s">
        <v>264</v>
      </c>
    </row>
    <row r="109" spans="13:22" x14ac:dyDescent="0.25">
      <c r="M109" s="1" t="s">
        <v>718</v>
      </c>
      <c r="O109" s="1" t="s">
        <v>376</v>
      </c>
      <c r="P109" s="6" t="s">
        <v>106</v>
      </c>
      <c r="R109" s="2" t="s">
        <v>109</v>
      </c>
      <c r="S109" s="2" t="s">
        <v>428</v>
      </c>
      <c r="T109" s="2" t="s">
        <v>631</v>
      </c>
      <c r="U109" s="2" t="s">
        <v>685</v>
      </c>
      <c r="V109" s="6" t="s">
        <v>760</v>
      </c>
    </row>
    <row r="110" spans="13:22" x14ac:dyDescent="0.25">
      <c r="M110" s="1" t="s">
        <v>719</v>
      </c>
      <c r="O110" s="1" t="s">
        <v>377</v>
      </c>
      <c r="P110" s="6" t="s">
        <v>107</v>
      </c>
      <c r="R110" s="2" t="s">
        <v>597</v>
      </c>
      <c r="S110" s="2" t="s">
        <v>91</v>
      </c>
      <c r="T110" s="2" t="s">
        <v>363</v>
      </c>
      <c r="U110" s="2" t="s">
        <v>665</v>
      </c>
      <c r="V110" s="6" t="s">
        <v>174</v>
      </c>
    </row>
    <row r="111" spans="13:22" x14ac:dyDescent="0.25">
      <c r="M111" s="1" t="s">
        <v>720</v>
      </c>
      <c r="O111" s="1" t="s">
        <v>378</v>
      </c>
      <c r="P111" s="6" t="s">
        <v>108</v>
      </c>
      <c r="R111" s="2" t="s">
        <v>598</v>
      </c>
      <c r="S111" s="2" t="s">
        <v>681</v>
      </c>
      <c r="T111" s="2" t="s">
        <v>725</v>
      </c>
      <c r="U111" s="2" t="s">
        <v>784</v>
      </c>
      <c r="V111" s="6" t="s">
        <v>533</v>
      </c>
    </row>
    <row r="112" spans="13:22" x14ac:dyDescent="0.25">
      <c r="M112" s="1" t="s">
        <v>721</v>
      </c>
      <c r="O112" s="1" t="s">
        <v>379</v>
      </c>
      <c r="P112" s="6">
        <v>2006</v>
      </c>
      <c r="R112" s="2" t="s">
        <v>678</v>
      </c>
      <c r="S112" s="2" t="s">
        <v>122</v>
      </c>
      <c r="T112" s="2" t="s">
        <v>71</v>
      </c>
      <c r="U112" s="2" t="s">
        <v>36</v>
      </c>
      <c r="V112" s="6" t="s">
        <v>178</v>
      </c>
    </row>
    <row r="113" spans="13:22" x14ac:dyDescent="0.25">
      <c r="M113" s="1" t="s">
        <v>249</v>
      </c>
      <c r="O113" s="1" t="s">
        <v>380</v>
      </c>
      <c r="P113" s="6" t="s">
        <v>110</v>
      </c>
      <c r="R113" s="2" t="s">
        <v>649</v>
      </c>
      <c r="S113" s="2" t="s">
        <v>465</v>
      </c>
      <c r="T113" s="2" t="s">
        <v>367</v>
      </c>
      <c r="U113" s="2" t="s">
        <v>471</v>
      </c>
      <c r="V113" s="6" t="s">
        <v>756</v>
      </c>
    </row>
    <row r="114" spans="13:22" x14ac:dyDescent="0.25">
      <c r="M114" s="1" t="s">
        <v>722</v>
      </c>
      <c r="O114" s="1" t="s">
        <v>381</v>
      </c>
      <c r="P114" s="6" t="s">
        <v>111</v>
      </c>
      <c r="R114" s="2" t="s">
        <v>694</v>
      </c>
      <c r="S114" s="2" t="s">
        <v>685</v>
      </c>
      <c r="T114" s="2" t="s">
        <v>370</v>
      </c>
      <c r="U114" s="2" t="s">
        <v>473</v>
      </c>
      <c r="V114" s="6" t="s">
        <v>208</v>
      </c>
    </row>
    <row r="115" spans="13:22" x14ac:dyDescent="0.25">
      <c r="M115" s="1" t="s">
        <v>723</v>
      </c>
      <c r="O115" s="1" t="s">
        <v>382</v>
      </c>
      <c r="P115" s="6" t="s">
        <v>112</v>
      </c>
      <c r="R115" s="2" t="s">
        <v>39</v>
      </c>
      <c r="S115" s="2" t="s">
        <v>36</v>
      </c>
      <c r="T115" s="2" t="s">
        <v>371</v>
      </c>
      <c r="U115" s="2" t="s">
        <v>683</v>
      </c>
      <c r="V115" s="6" t="s">
        <v>137</v>
      </c>
    </row>
    <row r="116" spans="13:22" x14ac:dyDescent="0.25">
      <c r="M116" s="1" t="s">
        <v>724</v>
      </c>
      <c r="O116" s="1" t="s">
        <v>383</v>
      </c>
      <c r="P116" s="6" t="s">
        <v>113</v>
      </c>
      <c r="R116" s="2" t="s">
        <v>147</v>
      </c>
      <c r="S116" s="2" t="s">
        <v>471</v>
      </c>
      <c r="T116" s="2" t="s">
        <v>372</v>
      </c>
      <c r="U116" s="2" t="s">
        <v>48</v>
      </c>
      <c r="V116" s="6" t="s">
        <v>38</v>
      </c>
    </row>
    <row r="117" spans="13:22" x14ac:dyDescent="0.25">
      <c r="M117" s="1" t="s">
        <v>197</v>
      </c>
      <c r="O117" s="1" t="s">
        <v>384</v>
      </c>
      <c r="P117" s="6" t="s">
        <v>114</v>
      </c>
      <c r="R117" s="2" t="s">
        <v>617</v>
      </c>
      <c r="S117" s="2" t="s">
        <v>473</v>
      </c>
      <c r="T117" s="2" t="s">
        <v>64</v>
      </c>
      <c r="U117" s="2" t="s">
        <v>187</v>
      </c>
      <c r="V117" s="6" t="s">
        <v>138</v>
      </c>
    </row>
    <row r="118" spans="13:22" x14ac:dyDescent="0.25">
      <c r="M118" s="1" t="s">
        <v>198</v>
      </c>
      <c r="O118" s="1" t="s">
        <v>385</v>
      </c>
      <c r="P118" s="6" t="s">
        <v>115</v>
      </c>
      <c r="R118" s="2" t="s">
        <v>141</v>
      </c>
      <c r="S118" s="2" t="s">
        <v>683</v>
      </c>
      <c r="T118" s="2" t="s">
        <v>374</v>
      </c>
      <c r="U118" s="2" t="s">
        <v>53</v>
      </c>
      <c r="V118" s="6" t="s">
        <v>645</v>
      </c>
    </row>
    <row r="119" spans="13:22" x14ac:dyDescent="0.25">
      <c r="M119" s="1" t="s">
        <v>725</v>
      </c>
      <c r="O119" s="1" t="s">
        <v>386</v>
      </c>
      <c r="P119" s="6" t="s">
        <v>116</v>
      </c>
      <c r="R119" s="2" t="s">
        <v>626</v>
      </c>
      <c r="S119" s="2" t="s">
        <v>240</v>
      </c>
      <c r="T119" s="2" t="s">
        <v>376</v>
      </c>
      <c r="U119" s="2" t="s">
        <v>477</v>
      </c>
      <c r="V119" s="6" t="s">
        <v>266</v>
      </c>
    </row>
    <row r="120" spans="13:22" x14ac:dyDescent="0.25">
      <c r="M120" s="1" t="s">
        <v>726</v>
      </c>
      <c r="O120" s="1" t="s">
        <v>387</v>
      </c>
      <c r="P120" s="6" t="s">
        <v>117</v>
      </c>
      <c r="R120" s="2" t="s">
        <v>755</v>
      </c>
      <c r="S120" s="2" t="s">
        <v>187</v>
      </c>
      <c r="T120" s="2" t="s">
        <v>377</v>
      </c>
      <c r="U120" s="2" t="s">
        <v>8</v>
      </c>
      <c r="V120" s="6" t="s">
        <v>547</v>
      </c>
    </row>
    <row r="121" spans="13:22" x14ac:dyDescent="0.25">
      <c r="M121" s="1" t="s">
        <v>727</v>
      </c>
      <c r="O121" s="1" t="s">
        <v>388</v>
      </c>
      <c r="P121" s="6" t="s">
        <v>118</v>
      </c>
      <c r="S121" s="2" t="s">
        <v>477</v>
      </c>
      <c r="T121" s="2" t="s">
        <v>217</v>
      </c>
      <c r="U121" s="2" t="s">
        <v>743</v>
      </c>
      <c r="V121" s="6" t="s">
        <v>688</v>
      </c>
    </row>
    <row r="122" spans="13:22" x14ac:dyDescent="0.25">
      <c r="M122" s="1" t="s">
        <v>728</v>
      </c>
      <c r="O122" s="1" t="s">
        <v>389</v>
      </c>
      <c r="P122" s="6" t="s">
        <v>119</v>
      </c>
      <c r="S122" s="2" t="s">
        <v>478</v>
      </c>
      <c r="T122" s="2" t="s">
        <v>379</v>
      </c>
      <c r="U122" s="2" t="s">
        <v>486</v>
      </c>
      <c r="V122" s="6" t="s">
        <v>197</v>
      </c>
    </row>
    <row r="123" spans="13:22" x14ac:dyDescent="0.25">
      <c r="M123" s="1" t="s">
        <v>729</v>
      </c>
      <c r="O123" s="1" t="s">
        <v>390</v>
      </c>
      <c r="P123" s="6" t="s">
        <v>120</v>
      </c>
      <c r="S123" s="2" t="s">
        <v>479</v>
      </c>
      <c r="T123" s="2" t="s">
        <v>380</v>
      </c>
      <c r="U123" s="2" t="s">
        <v>0</v>
      </c>
      <c r="V123" s="6" t="s">
        <v>703</v>
      </c>
    </row>
    <row r="124" spans="13:22" x14ac:dyDescent="0.25">
      <c r="M124" s="1" t="s">
        <v>730</v>
      </c>
      <c r="O124" s="1" t="s">
        <v>391</v>
      </c>
      <c r="P124" s="6" t="s">
        <v>121</v>
      </c>
      <c r="S124" s="2" t="s">
        <v>481</v>
      </c>
      <c r="T124" s="2" t="s">
        <v>381</v>
      </c>
      <c r="U124" s="2" t="s">
        <v>488</v>
      </c>
      <c r="V124" s="6" t="s">
        <v>639</v>
      </c>
    </row>
    <row r="125" spans="13:22" x14ac:dyDescent="0.25">
      <c r="M125" s="1" t="s">
        <v>731</v>
      </c>
      <c r="O125" s="1" t="s">
        <v>392</v>
      </c>
      <c r="P125" s="6" t="s">
        <v>122</v>
      </c>
      <c r="S125" s="2" t="s">
        <v>8</v>
      </c>
      <c r="T125" s="2" t="s">
        <v>14</v>
      </c>
      <c r="U125" s="2" t="s">
        <v>492</v>
      </c>
      <c r="V125" s="6" t="s">
        <v>652</v>
      </c>
    </row>
    <row r="126" spans="13:22" x14ac:dyDescent="0.25">
      <c r="M126" s="1" t="s">
        <v>732</v>
      </c>
      <c r="O126" s="1" t="s">
        <v>393</v>
      </c>
      <c r="P126" s="6" t="s">
        <v>123</v>
      </c>
      <c r="S126" s="2" t="s">
        <v>743</v>
      </c>
      <c r="T126" s="2" t="s">
        <v>183</v>
      </c>
      <c r="U126" s="2" t="s">
        <v>111</v>
      </c>
      <c r="V126" s="6" t="s">
        <v>572</v>
      </c>
    </row>
    <row r="127" spans="13:22" x14ac:dyDescent="0.25">
      <c r="M127" s="1" t="s">
        <v>733</v>
      </c>
      <c r="O127" s="1" t="s">
        <v>394</v>
      </c>
      <c r="P127" s="6" t="s">
        <v>124</v>
      </c>
      <c r="S127" s="2" t="s">
        <v>486</v>
      </c>
      <c r="T127" s="2" t="s">
        <v>46</v>
      </c>
      <c r="U127" s="2" t="s">
        <v>494</v>
      </c>
      <c r="V127" s="6" t="s">
        <v>224</v>
      </c>
    </row>
    <row r="128" spans="13:22" x14ac:dyDescent="0.25">
      <c r="M128" s="1" t="s">
        <v>250</v>
      </c>
      <c r="O128" s="1" t="s">
        <v>395</v>
      </c>
      <c r="P128" s="6" t="s">
        <v>125</v>
      </c>
      <c r="S128" s="2" t="s">
        <v>0</v>
      </c>
      <c r="T128" s="2" t="s">
        <v>65</v>
      </c>
      <c r="U128" s="2" t="s">
        <v>687</v>
      </c>
      <c r="V128" s="6" t="s">
        <v>591</v>
      </c>
    </row>
    <row r="129" spans="13:22" x14ac:dyDescent="0.25">
      <c r="M129" s="1" t="s">
        <v>202</v>
      </c>
      <c r="O129" s="1" t="s">
        <v>244</v>
      </c>
      <c r="P129" s="6" t="s">
        <v>126</v>
      </c>
      <c r="S129" s="2" t="s">
        <v>488</v>
      </c>
      <c r="T129" s="2" t="s">
        <v>726</v>
      </c>
      <c r="U129" s="2" t="s">
        <v>754</v>
      </c>
      <c r="V129" s="6" t="s">
        <v>680</v>
      </c>
    </row>
    <row r="130" spans="13:22" x14ac:dyDescent="0.25">
      <c r="M130" s="1" t="s">
        <v>734</v>
      </c>
      <c r="O130" s="1" t="s">
        <v>396</v>
      </c>
      <c r="P130" s="6" t="s">
        <v>127</v>
      </c>
      <c r="S130" s="2" t="s">
        <v>491</v>
      </c>
      <c r="T130" s="2" t="s">
        <v>721</v>
      </c>
      <c r="U130" s="2" t="s">
        <v>206</v>
      </c>
      <c r="V130" s="6" t="s">
        <v>731</v>
      </c>
    </row>
    <row r="131" spans="13:22" x14ac:dyDescent="0.25">
      <c r="M131" s="1" t="s">
        <v>735</v>
      </c>
      <c r="O131" s="1" t="s">
        <v>397</v>
      </c>
      <c r="P131" s="6" t="s">
        <v>128</v>
      </c>
      <c r="S131" s="2" t="s">
        <v>492</v>
      </c>
      <c r="T131" s="2" t="s">
        <v>382</v>
      </c>
      <c r="U131" s="2" t="s">
        <v>741</v>
      </c>
      <c r="V131" s="6" t="s">
        <v>786</v>
      </c>
    </row>
    <row r="132" spans="13:22" x14ac:dyDescent="0.25">
      <c r="M132" s="1" t="s">
        <v>736</v>
      </c>
      <c r="O132" s="1" t="s">
        <v>398</v>
      </c>
      <c r="P132" s="6" t="s">
        <v>129</v>
      </c>
      <c r="S132" s="2" t="s">
        <v>494</v>
      </c>
      <c r="T132" s="2" t="s">
        <v>661</v>
      </c>
      <c r="U132" s="2" t="s">
        <v>757</v>
      </c>
      <c r="V132" s="6" t="s">
        <v>109</v>
      </c>
    </row>
    <row r="133" spans="13:22" x14ac:dyDescent="0.25">
      <c r="M133" s="1" t="s">
        <v>737</v>
      </c>
      <c r="O133" s="1" t="s">
        <v>399</v>
      </c>
      <c r="P133" s="6" t="s">
        <v>130</v>
      </c>
      <c r="S133" s="2" t="s">
        <v>495</v>
      </c>
      <c r="T133" s="2" t="s">
        <v>383</v>
      </c>
      <c r="U133" s="2" t="s">
        <v>499</v>
      </c>
      <c r="V133" s="6" t="s">
        <v>597</v>
      </c>
    </row>
    <row r="134" spans="13:22" x14ac:dyDescent="0.25">
      <c r="M134" s="1" t="s">
        <v>738</v>
      </c>
      <c r="O134" s="1" t="s">
        <v>400</v>
      </c>
      <c r="P134" s="6" t="s">
        <v>131</v>
      </c>
      <c r="S134" s="2" t="s">
        <v>499</v>
      </c>
      <c r="T134" s="2" t="s">
        <v>732</v>
      </c>
      <c r="U134" s="2" t="s">
        <v>516</v>
      </c>
      <c r="V134" s="6" t="s">
        <v>678</v>
      </c>
    </row>
    <row r="135" spans="13:22" x14ac:dyDescent="0.25">
      <c r="M135" s="1" t="s">
        <v>739</v>
      </c>
      <c r="O135" s="1" t="s">
        <v>401</v>
      </c>
      <c r="P135" s="6" t="s">
        <v>132</v>
      </c>
      <c r="S135" s="2" t="s">
        <v>506</v>
      </c>
      <c r="T135" s="2" t="s">
        <v>144</v>
      </c>
      <c r="U135" s="2" t="s">
        <v>695</v>
      </c>
      <c r="V135" s="6" t="s">
        <v>649</v>
      </c>
    </row>
    <row r="136" spans="13:22" x14ac:dyDescent="0.25">
      <c r="M136" s="1" t="s">
        <v>740</v>
      </c>
      <c r="O136" s="1" t="s">
        <v>402</v>
      </c>
      <c r="P136" s="6" t="s">
        <v>133</v>
      </c>
      <c r="S136" s="2" t="s">
        <v>744</v>
      </c>
      <c r="T136" s="2" t="s">
        <v>385</v>
      </c>
      <c r="U136" s="2" t="s">
        <v>650</v>
      </c>
      <c r="V136" s="6" t="s">
        <v>694</v>
      </c>
    </row>
    <row r="137" spans="13:22" x14ac:dyDescent="0.25">
      <c r="M137" s="1" t="s">
        <v>585</v>
      </c>
      <c r="O137" s="1" t="s">
        <v>403</v>
      </c>
      <c r="P137" s="6" t="s">
        <v>134</v>
      </c>
      <c r="S137" s="2" t="s">
        <v>655</v>
      </c>
      <c r="T137" s="2" t="s">
        <v>646</v>
      </c>
      <c r="U137" s="2" t="s">
        <v>242</v>
      </c>
      <c r="V137" s="6" t="s">
        <v>39</v>
      </c>
    </row>
    <row r="138" spans="13:22" x14ac:dyDescent="0.25">
      <c r="M138" s="1" t="s">
        <v>741</v>
      </c>
      <c r="O138" s="1" t="s">
        <v>404</v>
      </c>
      <c r="P138" s="6" t="s">
        <v>135</v>
      </c>
      <c r="S138" s="2" t="s">
        <v>181</v>
      </c>
      <c r="T138" s="2" t="s">
        <v>388</v>
      </c>
      <c r="U138" s="2" t="s">
        <v>264</v>
      </c>
      <c r="V138" s="6" t="s">
        <v>141</v>
      </c>
    </row>
    <row r="139" spans="13:22" x14ac:dyDescent="0.25">
      <c r="M139" s="1" t="s">
        <v>742</v>
      </c>
      <c r="O139" s="1" t="s">
        <v>405</v>
      </c>
      <c r="P139" s="6" t="s">
        <v>136</v>
      </c>
      <c r="S139" s="2" t="s">
        <v>154</v>
      </c>
      <c r="T139" s="2" t="s">
        <v>129</v>
      </c>
      <c r="U139" s="2" t="s">
        <v>526</v>
      </c>
      <c r="V139" s="6" t="s">
        <v>755</v>
      </c>
    </row>
    <row r="140" spans="13:22" x14ac:dyDescent="0.25">
      <c r="M140" s="1" t="s">
        <v>210</v>
      </c>
      <c r="O140" s="1" t="s">
        <v>406</v>
      </c>
      <c r="P140" s="6" t="s">
        <v>137</v>
      </c>
      <c r="S140" s="2" t="s">
        <v>695</v>
      </c>
      <c r="T140" s="2" t="s">
        <v>391</v>
      </c>
      <c r="U140" s="2" t="s">
        <v>24</v>
      </c>
    </row>
    <row r="141" spans="13:22" x14ac:dyDescent="0.25">
      <c r="M141" s="1" t="s">
        <v>743</v>
      </c>
      <c r="O141" s="1" t="s">
        <v>407</v>
      </c>
      <c r="P141" s="6" t="s">
        <v>138</v>
      </c>
      <c r="S141" s="2" t="s">
        <v>242</v>
      </c>
      <c r="T141" s="2" t="s">
        <v>392</v>
      </c>
      <c r="U141" s="2" t="s">
        <v>760</v>
      </c>
    </row>
    <row r="142" spans="13:22" x14ac:dyDescent="0.25">
      <c r="M142" s="1" t="s">
        <v>744</v>
      </c>
      <c r="O142" s="1" t="s">
        <v>408</v>
      </c>
      <c r="P142" s="6" t="s">
        <v>139</v>
      </c>
      <c r="S142" s="2" t="s">
        <v>264</v>
      </c>
      <c r="T142" s="2" t="s">
        <v>393</v>
      </c>
      <c r="U142" s="2" t="s">
        <v>174</v>
      </c>
    </row>
    <row r="143" spans="13:22" x14ac:dyDescent="0.25">
      <c r="M143" s="1" t="s">
        <v>213</v>
      </c>
      <c r="O143" s="1" t="s">
        <v>409</v>
      </c>
      <c r="P143" s="6" t="s">
        <v>140</v>
      </c>
      <c r="S143" s="2" t="s">
        <v>521</v>
      </c>
      <c r="T143" s="2" t="s">
        <v>209</v>
      </c>
      <c r="U143" s="2" t="s">
        <v>533</v>
      </c>
    </row>
    <row r="144" spans="13:22" x14ac:dyDescent="0.25">
      <c r="M144" s="1" t="s">
        <v>745</v>
      </c>
      <c r="O144" s="1" t="s">
        <v>410</v>
      </c>
      <c r="P144" s="6" t="s">
        <v>141</v>
      </c>
      <c r="S144" s="2" t="s">
        <v>522</v>
      </c>
      <c r="T144" s="2" t="s">
        <v>395</v>
      </c>
      <c r="U144" s="2" t="s">
        <v>178</v>
      </c>
    </row>
    <row r="145" spans="13:21" x14ac:dyDescent="0.25">
      <c r="M145" s="1" t="s">
        <v>746</v>
      </c>
      <c r="O145" s="1" t="s">
        <v>411</v>
      </c>
      <c r="P145" s="6" t="s">
        <v>142</v>
      </c>
      <c r="S145" s="2" t="s">
        <v>526</v>
      </c>
      <c r="T145" s="2" t="s">
        <v>709</v>
      </c>
      <c r="U145" s="2" t="s">
        <v>712</v>
      </c>
    </row>
    <row r="146" spans="13:21" x14ac:dyDescent="0.25">
      <c r="M146" s="1" t="s">
        <v>747</v>
      </c>
      <c r="O146" s="1" t="s">
        <v>412</v>
      </c>
      <c r="P146" s="6" t="s">
        <v>143</v>
      </c>
      <c r="S146" s="2" t="s">
        <v>24</v>
      </c>
      <c r="T146" s="2" t="s">
        <v>634</v>
      </c>
      <c r="U146" s="2" t="s">
        <v>756</v>
      </c>
    </row>
    <row r="147" spans="13:21" x14ac:dyDescent="0.25">
      <c r="M147" s="1" t="s">
        <v>748</v>
      </c>
      <c r="O147" s="1" t="s">
        <v>413</v>
      </c>
      <c r="P147" s="6">
        <v>2000</v>
      </c>
      <c r="S147" s="2" t="s">
        <v>760</v>
      </c>
      <c r="T147" s="2" t="s">
        <v>5</v>
      </c>
      <c r="U147" s="2" t="s">
        <v>208</v>
      </c>
    </row>
    <row r="148" spans="13:21" x14ac:dyDescent="0.25">
      <c r="M148" s="1" t="s">
        <v>342</v>
      </c>
      <c r="O148" s="1" t="s">
        <v>414</v>
      </c>
      <c r="P148" s="6" t="s">
        <v>144</v>
      </c>
      <c r="S148" s="2" t="s">
        <v>528</v>
      </c>
      <c r="T148" s="2" t="s">
        <v>633</v>
      </c>
      <c r="U148" s="2" t="s">
        <v>137</v>
      </c>
    </row>
    <row r="149" spans="13:21" x14ac:dyDescent="0.25">
      <c r="M149" s="1" t="s">
        <v>749</v>
      </c>
      <c r="O149" s="1" t="s">
        <v>415</v>
      </c>
      <c r="P149" s="6" t="s">
        <v>145</v>
      </c>
      <c r="S149" s="2" t="s">
        <v>174</v>
      </c>
      <c r="T149" s="2" t="s">
        <v>696</v>
      </c>
      <c r="U149" s="2" t="s">
        <v>38</v>
      </c>
    </row>
    <row r="150" spans="13:21" x14ac:dyDescent="0.25">
      <c r="M150" s="1" t="s">
        <v>750</v>
      </c>
      <c r="O150" s="1" t="s">
        <v>416</v>
      </c>
      <c r="P150" s="6" t="s">
        <v>146</v>
      </c>
      <c r="S150" s="2" t="s">
        <v>534</v>
      </c>
      <c r="T150" s="2" t="s">
        <v>244</v>
      </c>
      <c r="U150" s="2" t="s">
        <v>138</v>
      </c>
    </row>
    <row r="151" spans="13:21" x14ac:dyDescent="0.25">
      <c r="M151" s="1" t="s">
        <v>142</v>
      </c>
      <c r="O151" s="1" t="s">
        <v>417</v>
      </c>
      <c r="P151" s="6" t="s">
        <v>147</v>
      </c>
      <c r="S151" s="2" t="s">
        <v>712</v>
      </c>
      <c r="T151" s="2" t="s">
        <v>134</v>
      </c>
      <c r="U151" s="2" t="s">
        <v>645</v>
      </c>
    </row>
    <row r="152" spans="13:21" x14ac:dyDescent="0.25">
      <c r="M152" s="1" t="s">
        <v>751</v>
      </c>
      <c r="O152" s="1" t="s">
        <v>418</v>
      </c>
      <c r="P152" s="6" t="s">
        <v>148</v>
      </c>
      <c r="S152" s="2" t="s">
        <v>756</v>
      </c>
      <c r="T152" s="2" t="s">
        <v>397</v>
      </c>
      <c r="U152" s="2" t="s">
        <v>266</v>
      </c>
    </row>
    <row r="153" spans="13:21" x14ac:dyDescent="0.25">
      <c r="M153" s="1" t="s">
        <v>752</v>
      </c>
      <c r="O153" s="1" t="s">
        <v>419</v>
      </c>
      <c r="P153" s="6" t="s">
        <v>149</v>
      </c>
      <c r="S153" s="2" t="s">
        <v>537</v>
      </c>
      <c r="T153" s="2" t="s">
        <v>400</v>
      </c>
      <c r="U153" s="2" t="s">
        <v>547</v>
      </c>
    </row>
    <row r="154" spans="13:21" x14ac:dyDescent="0.25">
      <c r="M154" s="1" t="s">
        <v>219</v>
      </c>
      <c r="O154" s="1" t="s">
        <v>420</v>
      </c>
      <c r="P154" s="6" t="s">
        <v>150</v>
      </c>
      <c r="S154" s="2" t="s">
        <v>138</v>
      </c>
      <c r="T154" s="2" t="s">
        <v>3</v>
      </c>
      <c r="U154" s="2" t="s">
        <v>548</v>
      </c>
    </row>
    <row r="155" spans="13:21" x14ac:dyDescent="0.25">
      <c r="M155" s="1" t="s">
        <v>753</v>
      </c>
      <c r="O155" s="1" t="s">
        <v>421</v>
      </c>
      <c r="P155" s="6" t="s">
        <v>151</v>
      </c>
      <c r="S155" s="2" t="s">
        <v>543</v>
      </c>
      <c r="T155" s="2" t="s">
        <v>722</v>
      </c>
      <c r="U155" s="2" t="s">
        <v>682</v>
      </c>
    </row>
    <row r="156" spans="13:21" x14ac:dyDescent="0.25">
      <c r="M156" s="1" t="s">
        <v>754</v>
      </c>
      <c r="O156" s="1" t="s">
        <v>422</v>
      </c>
      <c r="P156" s="6" t="s">
        <v>152</v>
      </c>
      <c r="S156" s="2" t="s">
        <v>645</v>
      </c>
      <c r="T156" s="2" t="s">
        <v>401</v>
      </c>
      <c r="U156" s="2" t="s">
        <v>688</v>
      </c>
    </row>
    <row r="157" spans="13:21" x14ac:dyDescent="0.25">
      <c r="M157" s="1" t="s">
        <v>755</v>
      </c>
      <c r="O157" s="1" t="s">
        <v>423</v>
      </c>
      <c r="P157" s="6" t="s">
        <v>153</v>
      </c>
      <c r="S157" s="2" t="s">
        <v>266</v>
      </c>
      <c r="T157" s="2" t="s">
        <v>18</v>
      </c>
      <c r="U157" s="2" t="s">
        <v>197</v>
      </c>
    </row>
    <row r="158" spans="13:21" x14ac:dyDescent="0.25">
      <c r="M158" s="1" t="s">
        <v>756</v>
      </c>
      <c r="O158" s="1" t="s">
        <v>424</v>
      </c>
      <c r="P158" s="6" t="s">
        <v>154</v>
      </c>
      <c r="S158" s="2" t="s">
        <v>547</v>
      </c>
      <c r="T158" s="2" t="s">
        <v>403</v>
      </c>
      <c r="U158" s="2" t="s">
        <v>703</v>
      </c>
    </row>
    <row r="159" spans="13:21" x14ac:dyDescent="0.25">
      <c r="M159" s="1" t="s">
        <v>757</v>
      </c>
      <c r="O159" s="1" t="s">
        <v>425</v>
      </c>
      <c r="P159" s="6" t="s">
        <v>155</v>
      </c>
      <c r="S159" s="2" t="s">
        <v>688</v>
      </c>
      <c r="T159" s="2" t="s">
        <v>87</v>
      </c>
      <c r="U159" s="2" t="s">
        <v>639</v>
      </c>
    </row>
    <row r="160" spans="13:21" x14ac:dyDescent="0.25">
      <c r="M160" s="1" t="s">
        <v>758</v>
      </c>
      <c r="O160" s="1" t="s">
        <v>426</v>
      </c>
      <c r="P160" s="6" t="s">
        <v>156</v>
      </c>
      <c r="S160" s="2" t="s">
        <v>197</v>
      </c>
      <c r="T160" s="2" t="s">
        <v>734</v>
      </c>
      <c r="U160" s="2" t="s">
        <v>652</v>
      </c>
    </row>
    <row r="161" spans="13:21" x14ac:dyDescent="0.25">
      <c r="M161" s="1" t="s">
        <v>759</v>
      </c>
      <c r="O161" s="1" t="s">
        <v>427</v>
      </c>
      <c r="P161" s="6" t="s">
        <v>157</v>
      </c>
      <c r="S161" s="2" t="s">
        <v>556</v>
      </c>
      <c r="T161" s="2" t="s">
        <v>405</v>
      </c>
      <c r="U161" s="2" t="s">
        <v>572</v>
      </c>
    </row>
    <row r="162" spans="13:21" x14ac:dyDescent="0.25">
      <c r="M162" s="1" t="s">
        <v>760</v>
      </c>
      <c r="O162" s="1" t="s">
        <v>428</v>
      </c>
      <c r="P162" s="6" t="s">
        <v>158</v>
      </c>
      <c r="S162" s="2" t="s">
        <v>703</v>
      </c>
      <c r="T162" s="2" t="s">
        <v>406</v>
      </c>
      <c r="U162" s="2" t="s">
        <v>56</v>
      </c>
    </row>
    <row r="163" spans="13:21" x14ac:dyDescent="0.25">
      <c r="M163" s="1" t="s">
        <v>761</v>
      </c>
      <c r="O163" s="1" t="s">
        <v>429</v>
      </c>
      <c r="P163" s="6" t="s">
        <v>159</v>
      </c>
      <c r="S163" s="2" t="s">
        <v>652</v>
      </c>
      <c r="T163" s="2" t="s">
        <v>407</v>
      </c>
      <c r="U163" s="2" t="s">
        <v>723</v>
      </c>
    </row>
    <row r="164" spans="13:21" x14ac:dyDescent="0.25">
      <c r="M164" s="1" t="s">
        <v>762</v>
      </c>
      <c r="O164" s="1" t="s">
        <v>430</v>
      </c>
      <c r="P164" s="6" t="s">
        <v>160</v>
      </c>
      <c r="S164" s="2" t="s">
        <v>573</v>
      </c>
      <c r="T164" s="2" t="s">
        <v>75</v>
      </c>
      <c r="U164" s="2" t="s">
        <v>588</v>
      </c>
    </row>
    <row r="165" spans="13:21" x14ac:dyDescent="0.25">
      <c r="M165" s="1" t="s">
        <v>763</v>
      </c>
      <c r="O165" s="1" t="s">
        <v>431</v>
      </c>
      <c r="P165" s="6" t="s">
        <v>161</v>
      </c>
      <c r="S165" s="2" t="s">
        <v>574</v>
      </c>
      <c r="T165" s="2" t="s">
        <v>215</v>
      </c>
      <c r="U165" s="2" t="s">
        <v>591</v>
      </c>
    </row>
    <row r="166" spans="13:21" x14ac:dyDescent="0.25">
      <c r="M166" s="1" t="s">
        <v>575</v>
      </c>
      <c r="O166" s="1" t="s">
        <v>432</v>
      </c>
      <c r="P166" s="6" t="s">
        <v>162</v>
      </c>
      <c r="S166" s="2" t="s">
        <v>56</v>
      </c>
      <c r="T166" s="2" t="s">
        <v>697</v>
      </c>
      <c r="U166" s="2" t="s">
        <v>680</v>
      </c>
    </row>
    <row r="167" spans="13:21" x14ac:dyDescent="0.25">
      <c r="M167" s="1" t="s">
        <v>764</v>
      </c>
      <c r="O167" s="1" t="s">
        <v>433</v>
      </c>
      <c r="P167" s="6" t="s">
        <v>163</v>
      </c>
      <c r="S167" s="2" t="s">
        <v>579</v>
      </c>
      <c r="T167" s="2" t="s">
        <v>260</v>
      </c>
      <c r="U167" s="2" t="s">
        <v>731</v>
      </c>
    </row>
    <row r="168" spans="13:21" x14ac:dyDescent="0.25">
      <c r="M168" s="1" t="s">
        <v>765</v>
      </c>
      <c r="O168" s="1" t="s">
        <v>59</v>
      </c>
      <c r="P168" s="6" t="s">
        <v>164</v>
      </c>
      <c r="S168" s="2" t="s">
        <v>109</v>
      </c>
      <c r="T168" s="2" t="s">
        <v>261</v>
      </c>
      <c r="U168" s="2" t="s">
        <v>786</v>
      </c>
    </row>
    <row r="169" spans="13:21" x14ac:dyDescent="0.25">
      <c r="M169" s="1" t="s">
        <v>766</v>
      </c>
      <c r="O169" s="1" t="s">
        <v>434</v>
      </c>
      <c r="P169" s="6" t="s">
        <v>165</v>
      </c>
      <c r="S169" s="2" t="s">
        <v>594</v>
      </c>
      <c r="T169" s="2" t="s">
        <v>774</v>
      </c>
      <c r="U169" s="2" t="s">
        <v>109</v>
      </c>
    </row>
    <row r="170" spans="13:21" x14ac:dyDescent="0.25">
      <c r="M170" s="1" t="s">
        <v>767</v>
      </c>
      <c r="O170" s="1" t="s">
        <v>435</v>
      </c>
      <c r="P170" s="6" t="s">
        <v>166</v>
      </c>
      <c r="S170" s="2" t="s">
        <v>595</v>
      </c>
      <c r="T170" s="2" t="s">
        <v>180</v>
      </c>
      <c r="U170" s="2" t="s">
        <v>597</v>
      </c>
    </row>
    <row r="171" spans="13:21" x14ac:dyDescent="0.25">
      <c r="M171" s="1" t="s">
        <v>226</v>
      </c>
      <c r="O171" s="1" t="s">
        <v>436</v>
      </c>
      <c r="P171" s="6" t="s">
        <v>167</v>
      </c>
      <c r="S171" s="2" t="s">
        <v>597</v>
      </c>
      <c r="T171" s="2" t="s">
        <v>410</v>
      </c>
      <c r="U171" s="2" t="s">
        <v>605</v>
      </c>
    </row>
    <row r="172" spans="13:21" x14ac:dyDescent="0.25">
      <c r="M172" s="1" t="s">
        <v>768</v>
      </c>
      <c r="O172" s="1" t="s">
        <v>437</v>
      </c>
      <c r="P172" s="6" t="s">
        <v>168</v>
      </c>
      <c r="S172" s="2" t="s">
        <v>603</v>
      </c>
      <c r="T172" s="2" t="s">
        <v>707</v>
      </c>
      <c r="U172" s="2" t="s">
        <v>678</v>
      </c>
    </row>
    <row r="173" spans="13:21" x14ac:dyDescent="0.25">
      <c r="M173" s="1" t="s">
        <v>769</v>
      </c>
      <c r="O173" s="1" t="s">
        <v>438</v>
      </c>
      <c r="P173" s="6" t="s">
        <v>169</v>
      </c>
      <c r="S173" s="2" t="s">
        <v>171</v>
      </c>
      <c r="T173" s="2" t="s">
        <v>249</v>
      </c>
      <c r="U173" s="2" t="s">
        <v>607</v>
      </c>
    </row>
    <row r="174" spans="13:21" x14ac:dyDescent="0.25">
      <c r="M174" s="1" t="s">
        <v>770</v>
      </c>
      <c r="O174" s="1" t="s">
        <v>439</v>
      </c>
      <c r="P174" s="6" t="s">
        <v>170</v>
      </c>
      <c r="S174" s="2" t="s">
        <v>607</v>
      </c>
      <c r="T174" s="2" t="s">
        <v>677</v>
      </c>
      <c r="U174" s="2" t="s">
        <v>649</v>
      </c>
    </row>
    <row r="175" spans="13:21" x14ac:dyDescent="0.25">
      <c r="M175" s="1" t="s">
        <v>771</v>
      </c>
      <c r="O175" s="1" t="s">
        <v>440</v>
      </c>
      <c r="P175" s="6" t="s">
        <v>171</v>
      </c>
      <c r="S175" s="2" t="s">
        <v>649</v>
      </c>
      <c r="T175" s="2" t="s">
        <v>411</v>
      </c>
      <c r="U175" s="2" t="s">
        <v>694</v>
      </c>
    </row>
    <row r="176" spans="13:21" x14ac:dyDescent="0.25">
      <c r="M176" s="1" t="s">
        <v>772</v>
      </c>
      <c r="O176" s="1" t="s">
        <v>441</v>
      </c>
      <c r="P176" s="6" t="s">
        <v>172</v>
      </c>
      <c r="S176" s="2" t="s">
        <v>694</v>
      </c>
      <c r="T176" s="2" t="s">
        <v>413</v>
      </c>
      <c r="U176" s="2" t="s">
        <v>39</v>
      </c>
    </row>
    <row r="177" spans="13:21" x14ac:dyDescent="0.25">
      <c r="M177" s="1" t="s">
        <v>229</v>
      </c>
      <c r="O177" s="1" t="s">
        <v>442</v>
      </c>
      <c r="P177" s="6" t="s">
        <v>173</v>
      </c>
      <c r="S177" s="2" t="s">
        <v>39</v>
      </c>
      <c r="T177" s="2" t="s">
        <v>416</v>
      </c>
      <c r="U177" s="2" t="s">
        <v>149</v>
      </c>
    </row>
    <row r="178" spans="13:21" x14ac:dyDescent="0.25">
      <c r="M178" s="1" t="s">
        <v>773</v>
      </c>
      <c r="O178" s="1" t="s">
        <v>443</v>
      </c>
      <c r="P178" s="6" t="s">
        <v>174</v>
      </c>
      <c r="S178" s="2" t="s">
        <v>627</v>
      </c>
      <c r="T178" s="2" t="s">
        <v>653</v>
      </c>
      <c r="U178" s="2" t="s">
        <v>755</v>
      </c>
    </row>
    <row r="179" spans="13:21" x14ac:dyDescent="0.25">
      <c r="M179" s="1" t="s">
        <v>774</v>
      </c>
      <c r="O179" s="1" t="s">
        <v>444</v>
      </c>
      <c r="P179" s="6" t="s">
        <v>175</v>
      </c>
      <c r="T179" s="2" t="s">
        <v>50</v>
      </c>
    </row>
    <row r="180" spans="13:21" x14ac:dyDescent="0.25">
      <c r="M180" s="1" t="s">
        <v>775</v>
      </c>
      <c r="O180" s="1" t="s">
        <v>445</v>
      </c>
      <c r="P180" s="6" t="s">
        <v>176</v>
      </c>
      <c r="T180" s="2" t="s">
        <v>664</v>
      </c>
    </row>
    <row r="181" spans="13:21" x14ac:dyDescent="0.25">
      <c r="M181" s="1" t="s">
        <v>776</v>
      </c>
      <c r="O181" s="1" t="s">
        <v>446</v>
      </c>
      <c r="P181" s="6" t="s">
        <v>177</v>
      </c>
      <c r="T181" s="2" t="s">
        <v>423</v>
      </c>
    </row>
    <row r="182" spans="13:21" x14ac:dyDescent="0.25">
      <c r="M182" s="1" t="s">
        <v>777</v>
      </c>
      <c r="O182" s="1" t="s">
        <v>447</v>
      </c>
      <c r="P182" s="6" t="s">
        <v>178</v>
      </c>
      <c r="T182" s="2" t="s">
        <v>746</v>
      </c>
    </row>
    <row r="183" spans="13:21" x14ac:dyDescent="0.25">
      <c r="M183" s="1" t="s">
        <v>778</v>
      </c>
      <c r="O183" s="1" t="s">
        <v>448</v>
      </c>
      <c r="P183" s="6" t="s">
        <v>179</v>
      </c>
      <c r="T183" s="2" t="s">
        <v>82</v>
      </c>
    </row>
    <row r="184" spans="13:21" x14ac:dyDescent="0.25">
      <c r="M184" s="1" t="s">
        <v>779</v>
      </c>
      <c r="O184" s="1" t="s">
        <v>449</v>
      </c>
      <c r="P184" s="6" t="s">
        <v>180</v>
      </c>
      <c r="T184" s="2" t="s">
        <v>59</v>
      </c>
    </row>
    <row r="185" spans="13:21" x14ac:dyDescent="0.25">
      <c r="M185" s="1" t="s">
        <v>780</v>
      </c>
      <c r="O185" s="1" t="s">
        <v>450</v>
      </c>
      <c r="P185" s="6" t="s">
        <v>181</v>
      </c>
      <c r="T185" s="2" t="s">
        <v>716</v>
      </c>
    </row>
    <row r="186" spans="13:21" x14ac:dyDescent="0.25">
      <c r="M186" s="1" t="s">
        <v>781</v>
      </c>
      <c r="O186" s="1" t="s">
        <v>451</v>
      </c>
      <c r="P186" s="6" t="s">
        <v>182</v>
      </c>
      <c r="T186" s="2" t="s">
        <v>438</v>
      </c>
    </row>
    <row r="187" spans="13:21" x14ac:dyDescent="0.25">
      <c r="M187" s="1" t="s">
        <v>782</v>
      </c>
      <c r="O187" s="1" t="s">
        <v>452</v>
      </c>
      <c r="P187" s="6" t="s">
        <v>183</v>
      </c>
      <c r="T187" s="2" t="s">
        <v>439</v>
      </c>
    </row>
    <row r="188" spans="13:21" x14ac:dyDescent="0.25">
      <c r="M188" s="1" t="s">
        <v>783</v>
      </c>
      <c r="O188" s="1" t="s">
        <v>453</v>
      </c>
      <c r="P188" s="6" t="s">
        <v>184</v>
      </c>
      <c r="T188" s="2" t="s">
        <v>51</v>
      </c>
    </row>
    <row r="189" spans="13:21" x14ac:dyDescent="0.25">
      <c r="M189" s="1" t="s">
        <v>117</v>
      </c>
      <c r="O189" s="1" t="s">
        <v>454</v>
      </c>
      <c r="P189" s="6" t="s">
        <v>185</v>
      </c>
      <c r="T189" s="2" t="s">
        <v>773</v>
      </c>
    </row>
    <row r="190" spans="13:21" x14ac:dyDescent="0.25">
      <c r="M190" s="1" t="s">
        <v>784</v>
      </c>
      <c r="O190" s="1" t="s">
        <v>455</v>
      </c>
      <c r="P190" s="6" t="s">
        <v>186</v>
      </c>
      <c r="T190" s="2" t="s">
        <v>91</v>
      </c>
    </row>
    <row r="191" spans="13:21" x14ac:dyDescent="0.25">
      <c r="M191" s="1" t="s">
        <v>143</v>
      </c>
      <c r="O191" s="1" t="s">
        <v>456</v>
      </c>
      <c r="P191" s="6" t="s">
        <v>187</v>
      </c>
      <c r="T191" s="2" t="s">
        <v>188</v>
      </c>
    </row>
    <row r="192" spans="13:21" x14ac:dyDescent="0.25">
      <c r="M192" s="1" t="s">
        <v>147</v>
      </c>
      <c r="O192" s="1" t="s">
        <v>457</v>
      </c>
      <c r="P192" s="6" t="s">
        <v>188</v>
      </c>
      <c r="T192" s="2" t="s">
        <v>447</v>
      </c>
    </row>
    <row r="193" spans="13:20" x14ac:dyDescent="0.25">
      <c r="M193" s="1" t="s">
        <v>148</v>
      </c>
      <c r="O193" s="1" t="s">
        <v>458</v>
      </c>
      <c r="P193" s="6" t="s">
        <v>189</v>
      </c>
      <c r="T193" s="2" t="s">
        <v>775</v>
      </c>
    </row>
    <row r="194" spans="13:20" x14ac:dyDescent="0.25">
      <c r="M194" s="1" t="s">
        <v>149</v>
      </c>
      <c r="O194" s="1" t="s">
        <v>459</v>
      </c>
      <c r="P194" s="6" t="s">
        <v>190</v>
      </c>
      <c r="T194" s="2" t="s">
        <v>448</v>
      </c>
    </row>
    <row r="195" spans="13:20" x14ac:dyDescent="0.25">
      <c r="M195" s="1" t="s">
        <v>4</v>
      </c>
      <c r="O195" s="1" t="s">
        <v>460</v>
      </c>
      <c r="P195" s="6" t="s">
        <v>191</v>
      </c>
      <c r="T195" s="2" t="s">
        <v>453</v>
      </c>
    </row>
    <row r="196" spans="13:20" x14ac:dyDescent="0.25">
      <c r="M196" s="1" t="s">
        <v>150</v>
      </c>
      <c r="O196" s="1" t="s">
        <v>461</v>
      </c>
      <c r="P196" s="6" t="s">
        <v>192</v>
      </c>
      <c r="T196" s="2" t="s">
        <v>34</v>
      </c>
    </row>
    <row r="197" spans="13:20" x14ac:dyDescent="0.25">
      <c r="M197" s="1" t="s">
        <v>71</v>
      </c>
      <c r="O197" s="1" t="s">
        <v>462</v>
      </c>
      <c r="P197" s="6" t="s">
        <v>193</v>
      </c>
      <c r="T197" s="2" t="s">
        <v>58</v>
      </c>
    </row>
    <row r="198" spans="13:20" x14ac:dyDescent="0.25">
      <c r="M198" s="1" t="s">
        <v>151</v>
      </c>
      <c r="O198" s="1" t="s">
        <v>463</v>
      </c>
      <c r="P198" s="6" t="s">
        <v>194</v>
      </c>
      <c r="T198" s="2" t="s">
        <v>1</v>
      </c>
    </row>
    <row r="199" spans="13:20" x14ac:dyDescent="0.25">
      <c r="M199" s="1" t="s">
        <v>8</v>
      </c>
      <c r="O199" s="1" t="s">
        <v>464</v>
      </c>
      <c r="P199" s="6" t="s">
        <v>195</v>
      </c>
      <c r="T199" s="2" t="s">
        <v>681</v>
      </c>
    </row>
    <row r="200" spans="13:20" x14ac:dyDescent="0.25">
      <c r="M200" s="1" t="s">
        <v>0</v>
      </c>
      <c r="O200" s="1" t="s">
        <v>465</v>
      </c>
      <c r="P200" s="6" t="s">
        <v>196</v>
      </c>
      <c r="T200" s="2" t="s">
        <v>457</v>
      </c>
    </row>
    <row r="201" spans="13:20" x14ac:dyDescent="0.25">
      <c r="O201" s="1" t="s">
        <v>466</v>
      </c>
      <c r="P201" s="6" t="s">
        <v>197</v>
      </c>
      <c r="T201" s="2" t="s">
        <v>245</v>
      </c>
    </row>
    <row r="202" spans="13:20" x14ac:dyDescent="0.25">
      <c r="O202" s="1" t="s">
        <v>467</v>
      </c>
      <c r="P202" s="6" t="s">
        <v>198</v>
      </c>
      <c r="T202" s="2" t="s">
        <v>40</v>
      </c>
    </row>
    <row r="203" spans="13:20" x14ac:dyDescent="0.25">
      <c r="O203" s="1" t="s">
        <v>468</v>
      </c>
      <c r="P203" s="6" t="s">
        <v>199</v>
      </c>
      <c r="T203" s="2" t="s">
        <v>462</v>
      </c>
    </row>
    <row r="204" spans="13:20" x14ac:dyDescent="0.25">
      <c r="O204" s="1" t="s">
        <v>469</v>
      </c>
      <c r="P204" s="6" t="s">
        <v>200</v>
      </c>
      <c r="T204" s="2" t="s">
        <v>464</v>
      </c>
    </row>
    <row r="205" spans="13:20" x14ac:dyDescent="0.25">
      <c r="O205" s="1" t="s">
        <v>470</v>
      </c>
      <c r="P205" s="6" t="s">
        <v>201</v>
      </c>
      <c r="T205" s="2" t="s">
        <v>466</v>
      </c>
    </row>
    <row r="206" spans="13:20" x14ac:dyDescent="0.25">
      <c r="O206" s="1" t="s">
        <v>471</v>
      </c>
      <c r="P206" s="6" t="s">
        <v>202</v>
      </c>
      <c r="T206" s="2" t="s">
        <v>779</v>
      </c>
    </row>
    <row r="207" spans="13:20" x14ac:dyDescent="0.25">
      <c r="O207" s="1" t="s">
        <v>472</v>
      </c>
      <c r="P207" s="6" t="s">
        <v>203</v>
      </c>
      <c r="T207" s="2" t="s">
        <v>665</v>
      </c>
    </row>
    <row r="208" spans="13:20" x14ac:dyDescent="0.25">
      <c r="O208" s="1" t="s">
        <v>473</v>
      </c>
      <c r="P208" s="6" t="s">
        <v>204</v>
      </c>
      <c r="T208" s="2" t="s">
        <v>784</v>
      </c>
    </row>
    <row r="209" spans="15:20" x14ac:dyDescent="0.25">
      <c r="O209" s="1" t="s">
        <v>474</v>
      </c>
      <c r="P209" s="6" t="s">
        <v>205</v>
      </c>
      <c r="T209" s="2" t="s">
        <v>702</v>
      </c>
    </row>
    <row r="210" spans="15:20" x14ac:dyDescent="0.25">
      <c r="O210" s="1" t="s">
        <v>475</v>
      </c>
      <c r="P210" s="6" t="s">
        <v>206</v>
      </c>
      <c r="T210" s="2" t="s">
        <v>200</v>
      </c>
    </row>
    <row r="211" spans="15:20" x14ac:dyDescent="0.25">
      <c r="O211" s="1" t="s">
        <v>476</v>
      </c>
      <c r="P211" s="6" t="s">
        <v>207</v>
      </c>
      <c r="T211" s="2" t="s">
        <v>106</v>
      </c>
    </row>
    <row r="212" spans="15:20" x14ac:dyDescent="0.25">
      <c r="O212" s="1" t="s">
        <v>477</v>
      </c>
      <c r="P212" s="6" t="s">
        <v>208</v>
      </c>
      <c r="T212" s="2" t="s">
        <v>473</v>
      </c>
    </row>
    <row r="213" spans="15:20" x14ac:dyDescent="0.25">
      <c r="O213" s="1" t="s">
        <v>478</v>
      </c>
      <c r="P213" s="6" t="s">
        <v>209</v>
      </c>
      <c r="T213" s="2" t="s">
        <v>761</v>
      </c>
    </row>
    <row r="214" spans="15:20" x14ac:dyDescent="0.25">
      <c r="O214" s="1" t="s">
        <v>479</v>
      </c>
      <c r="P214" s="6" t="s">
        <v>210</v>
      </c>
      <c r="T214" s="2" t="s">
        <v>475</v>
      </c>
    </row>
    <row r="215" spans="15:20" x14ac:dyDescent="0.25">
      <c r="O215" s="1" t="s">
        <v>480</v>
      </c>
      <c r="P215" s="6" t="s">
        <v>211</v>
      </c>
      <c r="T215" s="2" t="s">
        <v>683</v>
      </c>
    </row>
    <row r="216" spans="15:20" x14ac:dyDescent="0.25">
      <c r="O216" s="1" t="s">
        <v>481</v>
      </c>
      <c r="P216" s="6" t="s">
        <v>212</v>
      </c>
      <c r="T216" s="2" t="s">
        <v>187</v>
      </c>
    </row>
    <row r="217" spans="15:20" x14ac:dyDescent="0.25">
      <c r="O217" s="1" t="s">
        <v>482</v>
      </c>
      <c r="P217" s="6" t="s">
        <v>213</v>
      </c>
      <c r="T217" s="2" t="s">
        <v>223</v>
      </c>
    </row>
    <row r="218" spans="15:20" x14ac:dyDescent="0.25">
      <c r="O218" s="1" t="s">
        <v>483</v>
      </c>
      <c r="P218" s="6" t="s">
        <v>214</v>
      </c>
      <c r="T218" s="2" t="s">
        <v>53</v>
      </c>
    </row>
    <row r="219" spans="15:20" x14ac:dyDescent="0.25">
      <c r="O219" s="1" t="s">
        <v>8</v>
      </c>
      <c r="P219" s="6" t="s">
        <v>215</v>
      </c>
      <c r="T219" s="2" t="s">
        <v>476</v>
      </c>
    </row>
    <row r="220" spans="15:20" x14ac:dyDescent="0.25">
      <c r="O220" s="1" t="s">
        <v>484</v>
      </c>
      <c r="P220" s="6" t="s">
        <v>216</v>
      </c>
      <c r="T220" s="2" t="s">
        <v>263</v>
      </c>
    </row>
    <row r="221" spans="15:20" x14ac:dyDescent="0.25">
      <c r="O221" s="1" t="s">
        <v>485</v>
      </c>
      <c r="P221" s="6" t="s">
        <v>217</v>
      </c>
      <c r="T221" s="2" t="s">
        <v>477</v>
      </c>
    </row>
    <row r="222" spans="15:20" x14ac:dyDescent="0.25">
      <c r="O222" s="1" t="s">
        <v>486</v>
      </c>
      <c r="P222" s="6" t="s">
        <v>218</v>
      </c>
      <c r="T222" s="2" t="s">
        <v>478</v>
      </c>
    </row>
    <row r="223" spans="15:20" x14ac:dyDescent="0.25">
      <c r="O223" s="1" t="s">
        <v>487</v>
      </c>
      <c r="P223" s="6" t="s">
        <v>219</v>
      </c>
      <c r="T223" s="2" t="s">
        <v>481</v>
      </c>
    </row>
    <row r="224" spans="15:20" x14ac:dyDescent="0.25">
      <c r="O224" s="1" t="s">
        <v>488</v>
      </c>
      <c r="P224" s="6" t="s">
        <v>220</v>
      </c>
      <c r="T224" s="2" t="s">
        <v>486</v>
      </c>
    </row>
    <row r="225" spans="15:20" x14ac:dyDescent="0.25">
      <c r="O225" s="1" t="s">
        <v>489</v>
      </c>
      <c r="P225" s="6" t="s">
        <v>221</v>
      </c>
      <c r="T225" s="2" t="s">
        <v>233</v>
      </c>
    </row>
    <row r="226" spans="15:20" x14ac:dyDescent="0.25">
      <c r="O226" s="1" t="s">
        <v>490</v>
      </c>
      <c r="P226" s="6" t="s">
        <v>222</v>
      </c>
      <c r="T226" s="2" t="s">
        <v>0</v>
      </c>
    </row>
    <row r="227" spans="15:20" x14ac:dyDescent="0.25">
      <c r="O227" s="1" t="s">
        <v>491</v>
      </c>
      <c r="P227" s="6" t="s">
        <v>223</v>
      </c>
      <c r="T227" s="2" t="s">
        <v>488</v>
      </c>
    </row>
    <row r="228" spans="15:20" x14ac:dyDescent="0.25">
      <c r="O228" s="1" t="s">
        <v>492</v>
      </c>
      <c r="P228" s="6" t="s">
        <v>224</v>
      </c>
      <c r="T228" s="2" t="s">
        <v>492</v>
      </c>
    </row>
    <row r="229" spans="15:20" x14ac:dyDescent="0.25">
      <c r="O229" s="1" t="s">
        <v>493</v>
      </c>
      <c r="P229" s="6" t="s">
        <v>225</v>
      </c>
      <c r="T229" s="2" t="s">
        <v>124</v>
      </c>
    </row>
    <row r="230" spans="15:20" x14ac:dyDescent="0.25">
      <c r="O230" s="1" t="s">
        <v>494</v>
      </c>
      <c r="P230" s="6" t="s">
        <v>226</v>
      </c>
      <c r="T230" s="2" t="s">
        <v>88</v>
      </c>
    </row>
    <row r="231" spans="15:20" x14ac:dyDescent="0.25">
      <c r="O231" s="1" t="s">
        <v>495</v>
      </c>
      <c r="P231" s="6" t="s">
        <v>227</v>
      </c>
      <c r="T231" s="2" t="s">
        <v>494</v>
      </c>
    </row>
    <row r="232" spans="15:20" x14ac:dyDescent="0.25">
      <c r="O232" s="1" t="s">
        <v>496</v>
      </c>
      <c r="P232" s="6" t="s">
        <v>228</v>
      </c>
      <c r="T232" s="2" t="s">
        <v>125</v>
      </c>
    </row>
    <row r="233" spans="15:20" x14ac:dyDescent="0.25">
      <c r="O233" s="1" t="s">
        <v>497</v>
      </c>
      <c r="P233" s="6" t="s">
        <v>229</v>
      </c>
      <c r="T233" s="2" t="s">
        <v>687</v>
      </c>
    </row>
    <row r="234" spans="15:20" x14ac:dyDescent="0.25">
      <c r="O234" s="1" t="s">
        <v>498</v>
      </c>
      <c r="P234" s="6" t="s">
        <v>230</v>
      </c>
      <c r="T234" s="2" t="s">
        <v>741</v>
      </c>
    </row>
    <row r="235" spans="15:20" x14ac:dyDescent="0.25">
      <c r="O235" s="1" t="s">
        <v>499</v>
      </c>
      <c r="P235" s="6" t="s">
        <v>231</v>
      </c>
      <c r="T235" s="2" t="s">
        <v>498</v>
      </c>
    </row>
    <row r="236" spans="15:20" x14ac:dyDescent="0.25">
      <c r="O236" s="1" t="s">
        <v>500</v>
      </c>
      <c r="P236" s="6" t="s">
        <v>232</v>
      </c>
      <c r="T236" s="2" t="s">
        <v>501</v>
      </c>
    </row>
    <row r="237" spans="15:20" x14ac:dyDescent="0.25">
      <c r="O237" s="1" t="s">
        <v>501</v>
      </c>
      <c r="P237" s="6" t="s">
        <v>233</v>
      </c>
      <c r="T237" s="2" t="s">
        <v>502</v>
      </c>
    </row>
    <row r="238" spans="15:20" x14ac:dyDescent="0.25">
      <c r="O238" s="1" t="s">
        <v>502</v>
      </c>
      <c r="P238" s="6" t="s">
        <v>234</v>
      </c>
      <c r="T238" s="2" t="s">
        <v>505</v>
      </c>
    </row>
    <row r="239" spans="15:20" x14ac:dyDescent="0.25">
      <c r="O239" s="1" t="s">
        <v>503</v>
      </c>
      <c r="P239" s="6" t="s">
        <v>235</v>
      </c>
      <c r="T239" s="2" t="s">
        <v>744</v>
      </c>
    </row>
    <row r="240" spans="15:20" x14ac:dyDescent="0.25">
      <c r="O240" s="1" t="s">
        <v>504</v>
      </c>
      <c r="P240" s="6" t="s">
        <v>236</v>
      </c>
      <c r="T240" s="2" t="s">
        <v>510</v>
      </c>
    </row>
    <row r="241" spans="15:20" x14ac:dyDescent="0.25">
      <c r="O241" s="1" t="s">
        <v>505</v>
      </c>
      <c r="P241" s="6" t="s">
        <v>237</v>
      </c>
      <c r="T241" s="2" t="s">
        <v>511</v>
      </c>
    </row>
    <row r="242" spans="15:20" x14ac:dyDescent="0.25">
      <c r="O242" s="1" t="s">
        <v>506</v>
      </c>
      <c r="P242" s="6" t="s">
        <v>238</v>
      </c>
      <c r="T242" s="2" t="s">
        <v>655</v>
      </c>
    </row>
    <row r="243" spans="15:20" x14ac:dyDescent="0.25">
      <c r="O243" s="1" t="s">
        <v>507</v>
      </c>
      <c r="P243" s="6" t="s">
        <v>239</v>
      </c>
      <c r="T243" s="2" t="s">
        <v>512</v>
      </c>
    </row>
    <row r="244" spans="15:20" x14ac:dyDescent="0.25">
      <c r="O244" s="1" t="s">
        <v>508</v>
      </c>
      <c r="P244" s="6" t="s">
        <v>240</v>
      </c>
      <c r="T244" s="2" t="s">
        <v>516</v>
      </c>
    </row>
    <row r="245" spans="15:20" x14ac:dyDescent="0.25">
      <c r="O245" s="1" t="s">
        <v>509</v>
      </c>
      <c r="P245" s="6" t="s">
        <v>241</v>
      </c>
      <c r="T245" s="2" t="s">
        <v>695</v>
      </c>
    </row>
    <row r="246" spans="15:20" x14ac:dyDescent="0.25">
      <c r="O246" s="1" t="s">
        <v>510</v>
      </c>
      <c r="P246" s="6" t="s">
        <v>242</v>
      </c>
      <c r="T246" s="2" t="s">
        <v>650</v>
      </c>
    </row>
    <row r="247" spans="15:20" x14ac:dyDescent="0.25">
      <c r="O247" s="1" t="s">
        <v>511</v>
      </c>
      <c r="P247" s="6" t="s">
        <v>243</v>
      </c>
      <c r="T247" s="2" t="s">
        <v>745</v>
      </c>
    </row>
    <row r="248" spans="15:20" x14ac:dyDescent="0.25">
      <c r="O248" s="1" t="s">
        <v>512</v>
      </c>
      <c r="P248" s="6" t="s">
        <v>244</v>
      </c>
      <c r="T248" s="2" t="s">
        <v>242</v>
      </c>
    </row>
    <row r="249" spans="15:20" x14ac:dyDescent="0.25">
      <c r="O249" s="1" t="s">
        <v>513</v>
      </c>
      <c r="P249" s="6" t="s">
        <v>245</v>
      </c>
      <c r="T249" s="2" t="s">
        <v>264</v>
      </c>
    </row>
    <row r="250" spans="15:20" x14ac:dyDescent="0.25">
      <c r="O250" s="1" t="s">
        <v>514</v>
      </c>
      <c r="P250" s="6" t="s">
        <v>246</v>
      </c>
      <c r="T250" s="2" t="s">
        <v>520</v>
      </c>
    </row>
    <row r="251" spans="15:20" x14ac:dyDescent="0.25">
      <c r="O251" s="1" t="s">
        <v>515</v>
      </c>
      <c r="P251" s="6" t="s">
        <v>247</v>
      </c>
      <c r="T251" s="2" t="s">
        <v>521</v>
      </c>
    </row>
    <row r="252" spans="15:20" x14ac:dyDescent="0.25">
      <c r="O252" s="1" t="s">
        <v>181</v>
      </c>
      <c r="P252" s="6" t="s">
        <v>248</v>
      </c>
      <c r="T252" s="2" t="s">
        <v>204</v>
      </c>
    </row>
    <row r="253" spans="15:20" x14ac:dyDescent="0.25">
      <c r="O253" s="1" t="s">
        <v>516</v>
      </c>
      <c r="P253" s="6" t="s">
        <v>249</v>
      </c>
      <c r="T253" s="2" t="s">
        <v>522</v>
      </c>
    </row>
    <row r="254" spans="15:20" x14ac:dyDescent="0.25">
      <c r="O254" s="1" t="s">
        <v>517</v>
      </c>
      <c r="P254" s="6" t="s">
        <v>250</v>
      </c>
      <c r="T254" s="2" t="s">
        <v>158</v>
      </c>
    </row>
    <row r="255" spans="15:20" x14ac:dyDescent="0.25">
      <c r="O255" s="1" t="s">
        <v>518</v>
      </c>
      <c r="P255" s="6" t="s">
        <v>629</v>
      </c>
      <c r="T255" s="2" t="s">
        <v>760</v>
      </c>
    </row>
    <row r="256" spans="15:20" x14ac:dyDescent="0.25">
      <c r="O256" s="1" t="s">
        <v>242</v>
      </c>
      <c r="P256" s="6" t="s">
        <v>630</v>
      </c>
      <c r="T256" s="2" t="s">
        <v>530</v>
      </c>
    </row>
    <row r="257" spans="15:20" x14ac:dyDescent="0.25">
      <c r="O257" s="1" t="s">
        <v>519</v>
      </c>
      <c r="P257" s="6" t="s">
        <v>631</v>
      </c>
      <c r="T257" s="2" t="s">
        <v>533</v>
      </c>
    </row>
    <row r="258" spans="15:20" x14ac:dyDescent="0.25">
      <c r="O258" s="1" t="s">
        <v>264</v>
      </c>
      <c r="P258" s="6" t="s">
        <v>632</v>
      </c>
      <c r="T258" s="2" t="s">
        <v>178</v>
      </c>
    </row>
    <row r="259" spans="15:20" x14ac:dyDescent="0.25">
      <c r="O259" s="1" t="s">
        <v>520</v>
      </c>
      <c r="P259" s="6" t="s">
        <v>633</v>
      </c>
      <c r="T259" s="2" t="s">
        <v>136</v>
      </c>
    </row>
    <row r="260" spans="15:20" x14ac:dyDescent="0.25">
      <c r="O260" s="1" t="s">
        <v>521</v>
      </c>
      <c r="P260" s="6" t="s">
        <v>634</v>
      </c>
      <c r="T260" s="2" t="s">
        <v>67</v>
      </c>
    </row>
    <row r="261" spans="15:20" x14ac:dyDescent="0.25">
      <c r="O261" s="1" t="s">
        <v>522</v>
      </c>
      <c r="P261" s="6" t="s">
        <v>635</v>
      </c>
      <c r="T261" s="2" t="s">
        <v>657</v>
      </c>
    </row>
    <row r="262" spans="15:20" x14ac:dyDescent="0.25">
      <c r="O262" s="1" t="s">
        <v>523</v>
      </c>
      <c r="P262" s="6" t="s">
        <v>258</v>
      </c>
      <c r="T262" s="2" t="s">
        <v>756</v>
      </c>
    </row>
    <row r="263" spans="15:20" x14ac:dyDescent="0.25">
      <c r="O263" s="1" t="s">
        <v>524</v>
      </c>
      <c r="P263" s="6" t="s">
        <v>636</v>
      </c>
      <c r="T263" s="2" t="s">
        <v>208</v>
      </c>
    </row>
    <row r="264" spans="15:20" x14ac:dyDescent="0.25">
      <c r="O264" s="1" t="s">
        <v>525</v>
      </c>
      <c r="P264" s="6" t="s">
        <v>637</v>
      </c>
      <c r="T264" s="2" t="s">
        <v>539</v>
      </c>
    </row>
    <row r="265" spans="15:20" x14ac:dyDescent="0.25">
      <c r="O265" s="1" t="s">
        <v>526</v>
      </c>
      <c r="P265" s="6" t="s">
        <v>638</v>
      </c>
      <c r="T265" s="2" t="s">
        <v>137</v>
      </c>
    </row>
    <row r="266" spans="15:20" x14ac:dyDescent="0.25">
      <c r="O266" s="1" t="s">
        <v>527</v>
      </c>
      <c r="P266" s="6" t="s">
        <v>639</v>
      </c>
      <c r="T266" s="2" t="s">
        <v>38</v>
      </c>
    </row>
    <row r="267" spans="15:20" x14ac:dyDescent="0.25">
      <c r="O267" s="1" t="s">
        <v>528</v>
      </c>
      <c r="P267" s="6" t="s">
        <v>640</v>
      </c>
      <c r="T267" s="2" t="s">
        <v>138</v>
      </c>
    </row>
    <row r="268" spans="15:20" x14ac:dyDescent="0.25">
      <c r="O268" s="1" t="s">
        <v>529</v>
      </c>
      <c r="P268" s="6" t="s">
        <v>641</v>
      </c>
      <c r="T268" s="2" t="s">
        <v>229</v>
      </c>
    </row>
    <row r="269" spans="15:20" x14ac:dyDescent="0.25">
      <c r="O269" s="1" t="s">
        <v>530</v>
      </c>
      <c r="P269" s="6" t="s">
        <v>642</v>
      </c>
      <c r="T269" s="2" t="s">
        <v>645</v>
      </c>
    </row>
    <row r="270" spans="15:20" x14ac:dyDescent="0.25">
      <c r="O270" s="1" t="s">
        <v>531</v>
      </c>
      <c r="P270" s="6" t="s">
        <v>473</v>
      </c>
      <c r="T270" s="2" t="s">
        <v>266</v>
      </c>
    </row>
    <row r="271" spans="15:20" x14ac:dyDescent="0.25">
      <c r="O271" s="1" t="s">
        <v>532</v>
      </c>
      <c r="P271" s="6" t="s">
        <v>643</v>
      </c>
      <c r="T271" s="2" t="s">
        <v>545</v>
      </c>
    </row>
    <row r="272" spans="15:20" x14ac:dyDescent="0.25">
      <c r="O272" s="1" t="s">
        <v>533</v>
      </c>
      <c r="P272" s="6" t="s">
        <v>644</v>
      </c>
      <c r="T272" s="2" t="s">
        <v>782</v>
      </c>
    </row>
    <row r="273" spans="15:20" x14ac:dyDescent="0.25">
      <c r="O273" s="1" t="s">
        <v>534</v>
      </c>
      <c r="P273" s="6" t="s">
        <v>476</v>
      </c>
      <c r="T273" s="2" t="s">
        <v>547</v>
      </c>
    </row>
    <row r="274" spans="15:20" x14ac:dyDescent="0.25">
      <c r="O274" s="1" t="s">
        <v>535</v>
      </c>
      <c r="P274" s="6" t="s">
        <v>598</v>
      </c>
      <c r="T274" s="2" t="s">
        <v>638</v>
      </c>
    </row>
    <row r="275" spans="15:20" x14ac:dyDescent="0.25">
      <c r="O275" s="1" t="s">
        <v>536</v>
      </c>
      <c r="P275" s="6" t="s">
        <v>645</v>
      </c>
      <c r="T275" s="2" t="s">
        <v>682</v>
      </c>
    </row>
    <row r="276" spans="15:20" x14ac:dyDescent="0.25">
      <c r="O276" s="1" t="s">
        <v>537</v>
      </c>
      <c r="P276" s="6" t="s">
        <v>646</v>
      </c>
      <c r="T276" s="2" t="s">
        <v>550</v>
      </c>
    </row>
    <row r="277" spans="15:20" x14ac:dyDescent="0.25">
      <c r="O277" s="1" t="s">
        <v>538</v>
      </c>
      <c r="P277" s="6" t="s">
        <v>647</v>
      </c>
      <c r="T277" s="2" t="s">
        <v>688</v>
      </c>
    </row>
    <row r="278" spans="15:20" x14ac:dyDescent="0.25">
      <c r="O278" s="1" t="s">
        <v>539</v>
      </c>
      <c r="P278" s="6" t="s">
        <v>648</v>
      </c>
      <c r="T278" s="2" t="s">
        <v>146</v>
      </c>
    </row>
    <row r="279" spans="15:20" x14ac:dyDescent="0.25">
      <c r="O279" s="1" t="s">
        <v>540</v>
      </c>
      <c r="P279" s="6" t="s">
        <v>649</v>
      </c>
      <c r="T279" s="2" t="s">
        <v>197</v>
      </c>
    </row>
    <row r="280" spans="15:20" x14ac:dyDescent="0.25">
      <c r="O280" s="1" t="s">
        <v>541</v>
      </c>
      <c r="P280" s="6" t="s">
        <v>650</v>
      </c>
      <c r="T280" s="2" t="s">
        <v>691</v>
      </c>
    </row>
    <row r="281" spans="15:20" x14ac:dyDescent="0.25">
      <c r="O281" s="1" t="s">
        <v>542</v>
      </c>
      <c r="P281" s="6" t="s">
        <v>651</v>
      </c>
      <c r="T281" s="2" t="s">
        <v>269</v>
      </c>
    </row>
    <row r="282" spans="15:20" x14ac:dyDescent="0.25">
      <c r="O282" s="1" t="s">
        <v>543</v>
      </c>
      <c r="P282" s="6" t="s">
        <v>652</v>
      </c>
      <c r="T282" s="2" t="s">
        <v>163</v>
      </c>
    </row>
    <row r="283" spans="15:20" x14ac:dyDescent="0.25">
      <c r="O283" s="1" t="s">
        <v>544</v>
      </c>
      <c r="P283" s="6" t="s">
        <v>653</v>
      </c>
      <c r="T283" s="2" t="s">
        <v>186</v>
      </c>
    </row>
    <row r="284" spans="15:20" x14ac:dyDescent="0.25">
      <c r="O284" s="1" t="s">
        <v>545</v>
      </c>
      <c r="P284" s="6" t="s">
        <v>654</v>
      </c>
      <c r="T284" s="2" t="s">
        <v>557</v>
      </c>
    </row>
    <row r="285" spans="15:20" x14ac:dyDescent="0.25">
      <c r="O285" s="1" t="s">
        <v>546</v>
      </c>
      <c r="P285" s="6" t="s">
        <v>655</v>
      </c>
      <c r="T285" s="2" t="s">
        <v>703</v>
      </c>
    </row>
    <row r="286" spans="15:20" x14ac:dyDescent="0.25">
      <c r="O286" s="1" t="s">
        <v>547</v>
      </c>
      <c r="P286" s="6" t="s">
        <v>656</v>
      </c>
      <c r="T286" s="2" t="s">
        <v>126</v>
      </c>
    </row>
    <row r="287" spans="15:20" x14ac:dyDescent="0.25">
      <c r="O287" s="1" t="s">
        <v>548</v>
      </c>
      <c r="P287" s="6" t="s">
        <v>657</v>
      </c>
      <c r="T287" s="2" t="s">
        <v>564</v>
      </c>
    </row>
    <row r="288" spans="15:20" x14ac:dyDescent="0.25">
      <c r="O288" s="1" t="s">
        <v>549</v>
      </c>
      <c r="P288" s="6" t="s">
        <v>658</v>
      </c>
      <c r="T288" s="2" t="s">
        <v>568</v>
      </c>
    </row>
    <row r="289" spans="15:20" x14ac:dyDescent="0.25">
      <c r="O289" s="1" t="s">
        <v>550</v>
      </c>
      <c r="P289" s="6" t="s">
        <v>410</v>
      </c>
      <c r="T289" s="2" t="s">
        <v>771</v>
      </c>
    </row>
    <row r="290" spans="15:20" x14ac:dyDescent="0.25">
      <c r="O290" s="1" t="s">
        <v>551</v>
      </c>
      <c r="P290" s="6" t="s">
        <v>659</v>
      </c>
      <c r="T290" s="2" t="s">
        <v>639</v>
      </c>
    </row>
    <row r="291" spans="15:20" x14ac:dyDescent="0.25">
      <c r="O291" s="1" t="s">
        <v>552</v>
      </c>
      <c r="P291" s="6" t="s">
        <v>660</v>
      </c>
      <c r="T291" s="2" t="s">
        <v>652</v>
      </c>
    </row>
    <row r="292" spans="15:20" x14ac:dyDescent="0.25">
      <c r="O292" s="1" t="s">
        <v>553</v>
      </c>
      <c r="P292" s="6" t="s">
        <v>661</v>
      </c>
      <c r="T292" s="2" t="s">
        <v>570</v>
      </c>
    </row>
    <row r="293" spans="15:20" x14ac:dyDescent="0.25">
      <c r="O293" s="1" t="s">
        <v>554</v>
      </c>
      <c r="P293" s="6" t="s">
        <v>662</v>
      </c>
      <c r="T293" s="2" t="s">
        <v>572</v>
      </c>
    </row>
    <row r="294" spans="15:20" x14ac:dyDescent="0.25">
      <c r="O294" s="1" t="s">
        <v>555</v>
      </c>
      <c r="P294" s="6" t="s">
        <v>663</v>
      </c>
      <c r="T294" s="2" t="s">
        <v>573</v>
      </c>
    </row>
    <row r="295" spans="15:20" x14ac:dyDescent="0.25">
      <c r="O295" s="1" t="s">
        <v>556</v>
      </c>
      <c r="P295" s="6" t="s">
        <v>664</v>
      </c>
      <c r="T295" s="2" t="s">
        <v>579</v>
      </c>
    </row>
    <row r="296" spans="15:20" x14ac:dyDescent="0.25">
      <c r="O296" s="1" t="s">
        <v>557</v>
      </c>
      <c r="P296" s="6" t="s">
        <v>665</v>
      </c>
      <c r="T296" s="2" t="s">
        <v>57</v>
      </c>
    </row>
    <row r="297" spans="15:20" x14ac:dyDescent="0.25">
      <c r="O297" s="1" t="s">
        <v>270</v>
      </c>
      <c r="P297" s="6" t="s">
        <v>666</v>
      </c>
      <c r="T297" s="2" t="s">
        <v>84</v>
      </c>
    </row>
    <row r="298" spans="15:20" x14ac:dyDescent="0.25">
      <c r="O298" s="1" t="s">
        <v>558</v>
      </c>
      <c r="P298" s="6" t="s">
        <v>667</v>
      </c>
      <c r="T298" s="2" t="s">
        <v>139</v>
      </c>
    </row>
    <row r="299" spans="15:20" x14ac:dyDescent="0.25">
      <c r="O299" s="1" t="s">
        <v>559</v>
      </c>
      <c r="P299" s="6" t="s">
        <v>668</v>
      </c>
      <c r="T299" s="2" t="s">
        <v>582</v>
      </c>
    </row>
    <row r="300" spans="15:20" x14ac:dyDescent="0.25">
      <c r="O300" s="1" t="s">
        <v>560</v>
      </c>
      <c r="P300" s="6" t="s">
        <v>669</v>
      </c>
      <c r="T300" s="2" t="s">
        <v>224</v>
      </c>
    </row>
    <row r="301" spans="15:20" x14ac:dyDescent="0.25">
      <c r="O301" s="1" t="s">
        <v>561</v>
      </c>
      <c r="P301" s="6" t="s">
        <v>670</v>
      </c>
      <c r="T301" s="2" t="s">
        <v>586</v>
      </c>
    </row>
    <row r="302" spans="15:20" x14ac:dyDescent="0.25">
      <c r="O302" s="1" t="s">
        <v>562</v>
      </c>
      <c r="P302" s="6" t="s">
        <v>671</v>
      </c>
      <c r="T302" s="2" t="s">
        <v>587</v>
      </c>
    </row>
    <row r="303" spans="15:20" x14ac:dyDescent="0.25">
      <c r="O303" s="1" t="s">
        <v>563</v>
      </c>
      <c r="P303" s="6" t="s">
        <v>672</v>
      </c>
      <c r="T303" s="2" t="s">
        <v>590</v>
      </c>
    </row>
    <row r="304" spans="15:20" x14ac:dyDescent="0.25">
      <c r="O304" s="1" t="s">
        <v>564</v>
      </c>
      <c r="P304" s="6" t="s">
        <v>673</v>
      </c>
      <c r="T304" s="2" t="s">
        <v>591</v>
      </c>
    </row>
    <row r="305" spans="15:20" x14ac:dyDescent="0.25">
      <c r="O305" s="1" t="s">
        <v>565</v>
      </c>
      <c r="P305" s="6" t="s">
        <v>674</v>
      </c>
      <c r="T305" s="2" t="s">
        <v>592</v>
      </c>
    </row>
    <row r="306" spans="15:20" x14ac:dyDescent="0.25">
      <c r="O306" s="1" t="s">
        <v>566</v>
      </c>
      <c r="P306" s="6" t="s">
        <v>675</v>
      </c>
      <c r="T306" s="2" t="s">
        <v>680</v>
      </c>
    </row>
    <row r="307" spans="15:20" x14ac:dyDescent="0.25">
      <c r="O307" s="1" t="s">
        <v>567</v>
      </c>
      <c r="P307" s="6" t="s">
        <v>676</v>
      </c>
      <c r="T307" s="2" t="s">
        <v>272</v>
      </c>
    </row>
    <row r="308" spans="15:20" x14ac:dyDescent="0.25">
      <c r="O308" s="1" t="s">
        <v>568</v>
      </c>
      <c r="P308" s="6" t="s">
        <v>677</v>
      </c>
      <c r="T308" s="2" t="s">
        <v>731</v>
      </c>
    </row>
    <row r="309" spans="15:20" x14ac:dyDescent="0.25">
      <c r="O309" s="1" t="s">
        <v>569</v>
      </c>
      <c r="P309" s="6" t="s">
        <v>678</v>
      </c>
      <c r="T309" s="2" t="s">
        <v>786</v>
      </c>
    </row>
    <row r="310" spans="15:20" x14ac:dyDescent="0.25">
      <c r="O310" s="1" t="s">
        <v>570</v>
      </c>
      <c r="P310" s="6" t="s">
        <v>679</v>
      </c>
      <c r="T310" s="2" t="s">
        <v>109</v>
      </c>
    </row>
    <row r="311" spans="15:20" x14ac:dyDescent="0.25">
      <c r="O311" s="1" t="s">
        <v>571</v>
      </c>
      <c r="P311" s="6" t="s">
        <v>680</v>
      </c>
      <c r="T311" s="2" t="s">
        <v>595</v>
      </c>
    </row>
    <row r="312" spans="15:20" x14ac:dyDescent="0.25">
      <c r="O312" s="1" t="s">
        <v>572</v>
      </c>
      <c r="P312" s="6" t="s">
        <v>681</v>
      </c>
      <c r="T312" s="2" t="s">
        <v>596</v>
      </c>
    </row>
    <row r="313" spans="15:20" x14ac:dyDescent="0.25">
      <c r="O313" s="1" t="s">
        <v>573</v>
      </c>
      <c r="P313" s="6" t="s">
        <v>682</v>
      </c>
      <c r="T313" s="2" t="s">
        <v>140</v>
      </c>
    </row>
    <row r="314" spans="15:20" x14ac:dyDescent="0.25">
      <c r="O314" s="1" t="s">
        <v>574</v>
      </c>
      <c r="P314" s="6" t="s">
        <v>683</v>
      </c>
      <c r="T314" s="2" t="s">
        <v>597</v>
      </c>
    </row>
    <row r="315" spans="15:20" x14ac:dyDescent="0.25">
      <c r="O315" s="1" t="s">
        <v>575</v>
      </c>
      <c r="P315" s="6" t="s">
        <v>684</v>
      </c>
      <c r="T315" s="2" t="s">
        <v>216</v>
      </c>
    </row>
    <row r="316" spans="15:20" x14ac:dyDescent="0.25">
      <c r="O316" s="1" t="s">
        <v>576</v>
      </c>
      <c r="P316" s="6" t="s">
        <v>685</v>
      </c>
      <c r="T316" s="2" t="s">
        <v>598</v>
      </c>
    </row>
    <row r="317" spans="15:20" x14ac:dyDescent="0.25">
      <c r="O317" s="1" t="s">
        <v>577</v>
      </c>
      <c r="P317" s="6" t="s">
        <v>686</v>
      </c>
      <c r="T317" s="2" t="s">
        <v>600</v>
      </c>
    </row>
    <row r="318" spans="15:20" x14ac:dyDescent="0.25">
      <c r="O318" s="1" t="s">
        <v>578</v>
      </c>
      <c r="P318" s="6" t="s">
        <v>687</v>
      </c>
      <c r="T318" s="2" t="s">
        <v>601</v>
      </c>
    </row>
    <row r="319" spans="15:20" x14ac:dyDescent="0.25">
      <c r="O319" s="1" t="s">
        <v>579</v>
      </c>
      <c r="P319" s="6" t="s">
        <v>688</v>
      </c>
      <c r="T319" s="2" t="s">
        <v>603</v>
      </c>
    </row>
    <row r="320" spans="15:20" x14ac:dyDescent="0.25">
      <c r="O320" s="1" t="s">
        <v>580</v>
      </c>
      <c r="P320" s="6" t="s">
        <v>689</v>
      </c>
      <c r="T320" s="2" t="s">
        <v>604</v>
      </c>
    </row>
    <row r="321" spans="15:20" x14ac:dyDescent="0.25">
      <c r="O321" s="1" t="s">
        <v>581</v>
      </c>
      <c r="P321" s="6" t="s">
        <v>690</v>
      </c>
      <c r="T321" s="2" t="s">
        <v>184</v>
      </c>
    </row>
    <row r="322" spans="15:20" x14ac:dyDescent="0.25">
      <c r="O322" s="1" t="s">
        <v>582</v>
      </c>
      <c r="P322" s="6" t="s">
        <v>691</v>
      </c>
      <c r="T322" s="2" t="s">
        <v>605</v>
      </c>
    </row>
    <row r="323" spans="15:20" x14ac:dyDescent="0.25">
      <c r="O323" s="1" t="s">
        <v>583</v>
      </c>
      <c r="P323" s="6" t="s">
        <v>692</v>
      </c>
      <c r="T323" s="2" t="s">
        <v>678</v>
      </c>
    </row>
    <row r="324" spans="15:20" x14ac:dyDescent="0.25">
      <c r="O324" s="1" t="s">
        <v>584</v>
      </c>
      <c r="P324" s="6" t="s">
        <v>411</v>
      </c>
      <c r="T324" s="2" t="s">
        <v>171</v>
      </c>
    </row>
    <row r="325" spans="15:20" x14ac:dyDescent="0.25">
      <c r="O325" s="1" t="s">
        <v>585</v>
      </c>
      <c r="P325" s="6" t="s">
        <v>693</v>
      </c>
      <c r="T325" s="2" t="s">
        <v>166</v>
      </c>
    </row>
    <row r="326" spans="15:20" x14ac:dyDescent="0.25">
      <c r="O326" s="1" t="s">
        <v>586</v>
      </c>
      <c r="P326" s="6" t="s">
        <v>694</v>
      </c>
      <c r="T326" s="2" t="s">
        <v>649</v>
      </c>
    </row>
    <row r="327" spans="15:20" x14ac:dyDescent="0.25">
      <c r="O327" s="1" t="s">
        <v>587</v>
      </c>
      <c r="P327" s="6" t="s">
        <v>695</v>
      </c>
      <c r="T327" s="2" t="s">
        <v>694</v>
      </c>
    </row>
    <row r="328" spans="15:20" x14ac:dyDescent="0.25">
      <c r="O328" s="1" t="s">
        <v>588</v>
      </c>
      <c r="P328" s="6" t="s">
        <v>696</v>
      </c>
      <c r="T328" s="2" t="s">
        <v>39</v>
      </c>
    </row>
    <row r="329" spans="15:20" x14ac:dyDescent="0.25">
      <c r="O329" s="1" t="s">
        <v>589</v>
      </c>
      <c r="P329" s="6" t="s">
        <v>697</v>
      </c>
      <c r="T329" s="2" t="s">
        <v>147</v>
      </c>
    </row>
    <row r="330" spans="15:20" x14ac:dyDescent="0.25">
      <c r="O330" s="1" t="s">
        <v>590</v>
      </c>
      <c r="P330" s="6" t="s">
        <v>698</v>
      </c>
      <c r="T330" s="2" t="s">
        <v>616</v>
      </c>
    </row>
    <row r="331" spans="15:20" x14ac:dyDescent="0.25">
      <c r="O331" s="1" t="s">
        <v>591</v>
      </c>
      <c r="P331" s="6" t="s">
        <v>699</v>
      </c>
      <c r="T331" s="2" t="s">
        <v>62</v>
      </c>
    </row>
    <row r="332" spans="15:20" x14ac:dyDescent="0.25">
      <c r="O332" s="1" t="s">
        <v>592</v>
      </c>
      <c r="P332" s="6" t="s">
        <v>700</v>
      </c>
      <c r="T332" s="2" t="s">
        <v>675</v>
      </c>
    </row>
    <row r="333" spans="15:20" x14ac:dyDescent="0.25">
      <c r="O333" s="1" t="s">
        <v>593</v>
      </c>
      <c r="P333" s="6" t="s">
        <v>701</v>
      </c>
      <c r="T333" s="2" t="s">
        <v>620</v>
      </c>
    </row>
    <row r="334" spans="15:20" x14ac:dyDescent="0.25">
      <c r="O334" s="1" t="s">
        <v>594</v>
      </c>
      <c r="P334" s="6" t="s">
        <v>702</v>
      </c>
      <c r="T334" s="2" t="s">
        <v>149</v>
      </c>
    </row>
    <row r="335" spans="15:20" x14ac:dyDescent="0.25">
      <c r="O335" s="1" t="s">
        <v>595</v>
      </c>
      <c r="P335" s="6" t="s">
        <v>703</v>
      </c>
      <c r="T335" s="2" t="s">
        <v>141</v>
      </c>
    </row>
    <row r="336" spans="15:20" x14ac:dyDescent="0.25">
      <c r="O336" s="1" t="s">
        <v>596</v>
      </c>
      <c r="P336" s="6" t="s">
        <v>704</v>
      </c>
      <c r="T336" s="2" t="s">
        <v>622</v>
      </c>
    </row>
    <row r="337" spans="15:20" x14ac:dyDescent="0.25">
      <c r="O337" s="1" t="s">
        <v>597</v>
      </c>
      <c r="P337" s="6" t="s">
        <v>705</v>
      </c>
      <c r="T337" s="2" t="s">
        <v>626</v>
      </c>
    </row>
    <row r="338" spans="15:20" x14ac:dyDescent="0.25">
      <c r="O338" s="1" t="s">
        <v>598</v>
      </c>
      <c r="P338" s="6" t="s">
        <v>706</v>
      </c>
      <c r="T338" s="2" t="s">
        <v>755</v>
      </c>
    </row>
    <row r="339" spans="15:20" x14ac:dyDescent="0.25">
      <c r="O339" s="1" t="s">
        <v>599</v>
      </c>
      <c r="P339" s="6" t="s">
        <v>707</v>
      </c>
      <c r="T339" s="2" t="s">
        <v>627</v>
      </c>
    </row>
    <row r="340" spans="15:20" x14ac:dyDescent="0.25">
      <c r="O340" s="1" t="s">
        <v>600</v>
      </c>
      <c r="P340" s="6" t="s">
        <v>708</v>
      </c>
      <c r="T340" s="2" t="s">
        <v>17</v>
      </c>
    </row>
    <row r="341" spans="15:20" x14ac:dyDescent="0.25">
      <c r="O341" s="1" t="s">
        <v>601</v>
      </c>
      <c r="P341" s="6" t="s">
        <v>709</v>
      </c>
      <c r="T341" s="2" t="s">
        <v>27</v>
      </c>
    </row>
    <row r="342" spans="15:20" x14ac:dyDescent="0.25">
      <c r="O342" s="1" t="s">
        <v>602</v>
      </c>
      <c r="P342" s="6" t="s">
        <v>710</v>
      </c>
    </row>
    <row r="343" spans="15:20" x14ac:dyDescent="0.25">
      <c r="O343" s="1" t="s">
        <v>603</v>
      </c>
      <c r="P343" s="6" t="s">
        <v>711</v>
      </c>
    </row>
    <row r="344" spans="15:20" x14ac:dyDescent="0.25">
      <c r="O344" s="1" t="s">
        <v>604</v>
      </c>
      <c r="P344" s="6" t="s">
        <v>712</v>
      </c>
    </row>
    <row r="345" spans="15:20" x14ac:dyDescent="0.25">
      <c r="O345" s="1" t="s">
        <v>605</v>
      </c>
      <c r="P345" s="6" t="s">
        <v>713</v>
      </c>
    </row>
    <row r="346" spans="15:20" x14ac:dyDescent="0.25">
      <c r="O346" s="1" t="s">
        <v>606</v>
      </c>
      <c r="P346" s="6" t="s">
        <v>714</v>
      </c>
    </row>
    <row r="347" spans="15:20" x14ac:dyDescent="0.25">
      <c r="O347" s="1" t="s">
        <v>607</v>
      </c>
      <c r="P347" s="6" t="s">
        <v>715</v>
      </c>
    </row>
    <row r="348" spans="15:20" x14ac:dyDescent="0.25">
      <c r="O348" s="1" t="s">
        <v>608</v>
      </c>
      <c r="P348" s="6" t="s">
        <v>716</v>
      </c>
    </row>
    <row r="349" spans="15:20" x14ac:dyDescent="0.25">
      <c r="O349" s="1" t="s">
        <v>609</v>
      </c>
      <c r="P349" s="6" t="s">
        <v>717</v>
      </c>
    </row>
    <row r="350" spans="15:20" x14ac:dyDescent="0.25">
      <c r="O350" s="1" t="s">
        <v>610</v>
      </c>
      <c r="P350" s="6" t="s">
        <v>718</v>
      </c>
    </row>
    <row r="351" spans="15:20" x14ac:dyDescent="0.25">
      <c r="O351" s="1" t="s">
        <v>611</v>
      </c>
      <c r="P351" s="6" t="s">
        <v>719</v>
      </c>
    </row>
    <row r="352" spans="15:20" x14ac:dyDescent="0.25">
      <c r="O352" s="1" t="s">
        <v>612</v>
      </c>
      <c r="P352" s="6" t="s">
        <v>720</v>
      </c>
    </row>
    <row r="353" spans="15:16" x14ac:dyDescent="0.25">
      <c r="O353" s="1" t="s">
        <v>613</v>
      </c>
      <c r="P353" s="6" t="s">
        <v>721</v>
      </c>
    </row>
    <row r="354" spans="15:16" x14ac:dyDescent="0.25">
      <c r="O354" s="1" t="s">
        <v>614</v>
      </c>
      <c r="P354" s="6" t="s">
        <v>722</v>
      </c>
    </row>
    <row r="355" spans="15:16" x14ac:dyDescent="0.25">
      <c r="O355" s="1" t="s">
        <v>615</v>
      </c>
      <c r="P355" s="6" t="s">
        <v>723</v>
      </c>
    </row>
    <row r="356" spans="15:16" x14ac:dyDescent="0.25">
      <c r="O356" s="1" t="s">
        <v>616</v>
      </c>
      <c r="P356" s="6" t="s">
        <v>724</v>
      </c>
    </row>
    <row r="357" spans="15:16" x14ac:dyDescent="0.25">
      <c r="O357" s="1" t="s">
        <v>617</v>
      </c>
      <c r="P357" s="6" t="s">
        <v>725</v>
      </c>
    </row>
    <row r="358" spans="15:16" x14ac:dyDescent="0.25">
      <c r="O358" s="1" t="s">
        <v>618</v>
      </c>
      <c r="P358" s="6" t="s">
        <v>726</v>
      </c>
    </row>
    <row r="359" spans="15:16" x14ac:dyDescent="0.25">
      <c r="O359" s="1" t="s">
        <v>619</v>
      </c>
      <c r="P359" s="6" t="s">
        <v>727</v>
      </c>
    </row>
    <row r="360" spans="15:16" x14ac:dyDescent="0.25">
      <c r="O360" s="1" t="s">
        <v>620</v>
      </c>
      <c r="P360" s="6" t="s">
        <v>728</v>
      </c>
    </row>
    <row r="361" spans="15:16" x14ac:dyDescent="0.25">
      <c r="O361" s="1" t="s">
        <v>621</v>
      </c>
      <c r="P361" s="6" t="s">
        <v>729</v>
      </c>
    </row>
    <row r="362" spans="15:16" x14ac:dyDescent="0.25">
      <c r="O362" s="1" t="s">
        <v>622</v>
      </c>
      <c r="P362" s="6" t="s">
        <v>730</v>
      </c>
    </row>
    <row r="363" spans="15:16" x14ac:dyDescent="0.25">
      <c r="O363" s="1" t="s">
        <v>623</v>
      </c>
      <c r="P363" s="6" t="s">
        <v>731</v>
      </c>
    </row>
    <row r="364" spans="15:16" x14ac:dyDescent="0.25">
      <c r="O364" s="1" t="s">
        <v>624</v>
      </c>
      <c r="P364" s="6" t="s">
        <v>732</v>
      </c>
    </row>
    <row r="365" spans="15:16" x14ac:dyDescent="0.25">
      <c r="O365" s="1" t="s">
        <v>625</v>
      </c>
      <c r="P365" s="6" t="s">
        <v>733</v>
      </c>
    </row>
    <row r="366" spans="15:16" x14ac:dyDescent="0.25">
      <c r="O366" s="1" t="s">
        <v>626</v>
      </c>
      <c r="P366" s="6" t="s">
        <v>734</v>
      </c>
    </row>
    <row r="367" spans="15:16" x14ac:dyDescent="0.25">
      <c r="O367" s="1" t="s">
        <v>627</v>
      </c>
      <c r="P367" s="6" t="s">
        <v>735</v>
      </c>
    </row>
    <row r="368" spans="15:16" x14ac:dyDescent="0.25">
      <c r="O368" s="1" t="s">
        <v>628</v>
      </c>
      <c r="P368" s="6" t="s">
        <v>736</v>
      </c>
    </row>
    <row r="369" spans="16:16" x14ac:dyDescent="0.25">
      <c r="P369" s="6" t="s">
        <v>737</v>
      </c>
    </row>
    <row r="370" spans="16:16" x14ac:dyDescent="0.25">
      <c r="P370" s="6" t="s">
        <v>738</v>
      </c>
    </row>
    <row r="371" spans="16:16" x14ac:dyDescent="0.25">
      <c r="P371" s="6" t="s">
        <v>739</v>
      </c>
    </row>
    <row r="372" spans="16:16" x14ac:dyDescent="0.25">
      <c r="P372" s="6" t="s">
        <v>740</v>
      </c>
    </row>
    <row r="373" spans="16:16" x14ac:dyDescent="0.25">
      <c r="P373" s="6" t="s">
        <v>585</v>
      </c>
    </row>
    <row r="374" spans="16:16" x14ac:dyDescent="0.25">
      <c r="P374" s="6" t="s">
        <v>741</v>
      </c>
    </row>
    <row r="375" spans="16:16" x14ac:dyDescent="0.25">
      <c r="P375" s="6" t="s">
        <v>742</v>
      </c>
    </row>
    <row r="376" spans="16:16" x14ac:dyDescent="0.25">
      <c r="P376" s="6" t="s">
        <v>743</v>
      </c>
    </row>
    <row r="377" spans="16:16" x14ac:dyDescent="0.25">
      <c r="P377" s="6" t="s">
        <v>744</v>
      </c>
    </row>
    <row r="378" spans="16:16" x14ac:dyDescent="0.25">
      <c r="P378" s="6" t="s">
        <v>745</v>
      </c>
    </row>
    <row r="379" spans="16:16" x14ac:dyDescent="0.25">
      <c r="P379" s="6" t="s">
        <v>746</v>
      </c>
    </row>
    <row r="380" spans="16:16" x14ac:dyDescent="0.25">
      <c r="P380" s="6" t="s">
        <v>747</v>
      </c>
    </row>
    <row r="381" spans="16:16" x14ac:dyDescent="0.25">
      <c r="P381" s="6" t="s">
        <v>748</v>
      </c>
    </row>
    <row r="382" spans="16:16" x14ac:dyDescent="0.25">
      <c r="P382" s="6" t="s">
        <v>342</v>
      </c>
    </row>
    <row r="383" spans="16:16" x14ac:dyDescent="0.25">
      <c r="P383" s="6" t="s">
        <v>749</v>
      </c>
    </row>
    <row r="384" spans="16:16" x14ac:dyDescent="0.25">
      <c r="P384" s="6" t="s">
        <v>750</v>
      </c>
    </row>
    <row r="385" spans="16:16" x14ac:dyDescent="0.25">
      <c r="P385" s="6" t="s">
        <v>751</v>
      </c>
    </row>
    <row r="386" spans="16:16" x14ac:dyDescent="0.25">
      <c r="P386" s="6" t="s">
        <v>752</v>
      </c>
    </row>
    <row r="387" spans="16:16" x14ac:dyDescent="0.25">
      <c r="P387" s="6" t="s">
        <v>753</v>
      </c>
    </row>
    <row r="388" spans="16:16" x14ac:dyDescent="0.25">
      <c r="P388" s="6" t="s">
        <v>754</v>
      </c>
    </row>
    <row r="389" spans="16:16" x14ac:dyDescent="0.25">
      <c r="P389" s="6" t="s">
        <v>755</v>
      </c>
    </row>
    <row r="390" spans="16:16" x14ac:dyDescent="0.25">
      <c r="P390" s="6" t="s">
        <v>756</v>
      </c>
    </row>
    <row r="391" spans="16:16" x14ac:dyDescent="0.25">
      <c r="P391" s="6" t="s">
        <v>757</v>
      </c>
    </row>
    <row r="392" spans="16:16" x14ac:dyDescent="0.25">
      <c r="P392" s="6" t="s">
        <v>758</v>
      </c>
    </row>
    <row r="393" spans="16:16" x14ac:dyDescent="0.25">
      <c r="P393" s="6" t="s">
        <v>759</v>
      </c>
    </row>
    <row r="394" spans="16:16" x14ac:dyDescent="0.25">
      <c r="P394" s="6" t="s">
        <v>760</v>
      </c>
    </row>
    <row r="395" spans="16:16" x14ac:dyDescent="0.25">
      <c r="P395" s="6" t="s">
        <v>761</v>
      </c>
    </row>
    <row r="396" spans="16:16" x14ac:dyDescent="0.25">
      <c r="P396" s="6" t="s">
        <v>762</v>
      </c>
    </row>
    <row r="397" spans="16:16" x14ac:dyDescent="0.25">
      <c r="P397" s="6" t="s">
        <v>763</v>
      </c>
    </row>
    <row r="398" spans="16:16" x14ac:dyDescent="0.25">
      <c r="P398" s="6" t="s">
        <v>575</v>
      </c>
    </row>
    <row r="399" spans="16:16" x14ac:dyDescent="0.25">
      <c r="P399" s="6" t="s">
        <v>764</v>
      </c>
    </row>
    <row r="400" spans="16:16" x14ac:dyDescent="0.25">
      <c r="P400" s="6" t="s">
        <v>765</v>
      </c>
    </row>
    <row r="401" spans="16:16" x14ac:dyDescent="0.25">
      <c r="P401" s="6" t="s">
        <v>766</v>
      </c>
    </row>
    <row r="402" spans="16:16" x14ac:dyDescent="0.25">
      <c r="P402" s="6" t="s">
        <v>767</v>
      </c>
    </row>
    <row r="403" spans="16:16" x14ac:dyDescent="0.25">
      <c r="P403" s="6" t="s">
        <v>768</v>
      </c>
    </row>
    <row r="404" spans="16:16" x14ac:dyDescent="0.25">
      <c r="P404" s="6" t="s">
        <v>769</v>
      </c>
    </row>
    <row r="405" spans="16:16" x14ac:dyDescent="0.25">
      <c r="P405" s="6" t="s">
        <v>770</v>
      </c>
    </row>
    <row r="406" spans="16:16" x14ac:dyDescent="0.25">
      <c r="P406" s="6" t="s">
        <v>771</v>
      </c>
    </row>
    <row r="407" spans="16:16" x14ac:dyDescent="0.25">
      <c r="P407" s="6" t="s">
        <v>772</v>
      </c>
    </row>
    <row r="408" spans="16:16" x14ac:dyDescent="0.25">
      <c r="P408" s="6" t="s">
        <v>773</v>
      </c>
    </row>
    <row r="409" spans="16:16" x14ac:dyDescent="0.25">
      <c r="P409" s="6" t="s">
        <v>774</v>
      </c>
    </row>
    <row r="410" spans="16:16" x14ac:dyDescent="0.25">
      <c r="P410" s="6" t="s">
        <v>775</v>
      </c>
    </row>
    <row r="411" spans="16:16" x14ac:dyDescent="0.25">
      <c r="P411" s="6" t="s">
        <v>776</v>
      </c>
    </row>
    <row r="412" spans="16:16" x14ac:dyDescent="0.25">
      <c r="P412" s="6" t="s">
        <v>777</v>
      </c>
    </row>
    <row r="413" spans="16:16" x14ac:dyDescent="0.25">
      <c r="P413" s="6" t="s">
        <v>778</v>
      </c>
    </row>
    <row r="414" spans="16:16" x14ac:dyDescent="0.25">
      <c r="P414" s="6" t="s">
        <v>779</v>
      </c>
    </row>
    <row r="415" spans="16:16" x14ac:dyDescent="0.25">
      <c r="P415" s="6" t="s">
        <v>780</v>
      </c>
    </row>
    <row r="416" spans="16:16" x14ac:dyDescent="0.25">
      <c r="P416" s="6" t="s">
        <v>781</v>
      </c>
    </row>
    <row r="417" spans="16:16" x14ac:dyDescent="0.25">
      <c r="P417" s="6" t="s">
        <v>782</v>
      </c>
    </row>
    <row r="418" spans="16:16" x14ac:dyDescent="0.25">
      <c r="P418" s="6" t="s">
        <v>783</v>
      </c>
    </row>
    <row r="419" spans="16:16" x14ac:dyDescent="0.25">
      <c r="P419" s="6" t="s">
        <v>784</v>
      </c>
    </row>
    <row r="420" spans="16:16" x14ac:dyDescent="0.25">
      <c r="P420" s="6" t="s">
        <v>252</v>
      </c>
    </row>
    <row r="421" spans="16:16" x14ac:dyDescent="0.25">
      <c r="P421" s="6" t="s">
        <v>253</v>
      </c>
    </row>
    <row r="422" spans="16:16" x14ac:dyDescent="0.25">
      <c r="P422" s="6" t="s">
        <v>254</v>
      </c>
    </row>
    <row r="423" spans="16:16" x14ac:dyDescent="0.25">
      <c r="P423" s="6" t="s">
        <v>255</v>
      </c>
    </row>
    <row r="424" spans="16:16" x14ac:dyDescent="0.25">
      <c r="P424" s="6">
        <v>22</v>
      </c>
    </row>
    <row r="425" spans="16:16" x14ac:dyDescent="0.25">
      <c r="P425" s="6" t="s">
        <v>256</v>
      </c>
    </row>
    <row r="426" spans="16:16" x14ac:dyDescent="0.25">
      <c r="P426" s="6" t="s">
        <v>257</v>
      </c>
    </row>
    <row r="427" spans="16:16" x14ac:dyDescent="0.25">
      <c r="P427" s="6" t="s">
        <v>259</v>
      </c>
    </row>
    <row r="428" spans="16:16" x14ac:dyDescent="0.25">
      <c r="P428" s="6" t="s">
        <v>260</v>
      </c>
    </row>
    <row r="429" spans="16:16" x14ac:dyDescent="0.25">
      <c r="P429" s="6" t="s">
        <v>261</v>
      </c>
    </row>
    <row r="430" spans="16:16" x14ac:dyDescent="0.25">
      <c r="P430" s="6" t="s">
        <v>262</v>
      </c>
    </row>
    <row r="431" spans="16:16" x14ac:dyDescent="0.25">
      <c r="P431" s="6" t="s">
        <v>263</v>
      </c>
    </row>
    <row r="432" spans="16:16" x14ac:dyDescent="0.25">
      <c r="P432" s="6" t="s">
        <v>264</v>
      </c>
    </row>
    <row r="433" spans="16:16" x14ac:dyDescent="0.25">
      <c r="P433" s="6" t="s">
        <v>265</v>
      </c>
    </row>
    <row r="434" spans="16:16" x14ac:dyDescent="0.25">
      <c r="P434" s="6" t="s">
        <v>266</v>
      </c>
    </row>
    <row r="435" spans="16:16" x14ac:dyDescent="0.25">
      <c r="P435" s="6" t="s">
        <v>267</v>
      </c>
    </row>
    <row r="436" spans="16:16" x14ac:dyDescent="0.25">
      <c r="P436" s="6" t="s">
        <v>268</v>
      </c>
    </row>
    <row r="437" spans="16:16" x14ac:dyDescent="0.25">
      <c r="P437" s="6" t="s">
        <v>269</v>
      </c>
    </row>
    <row r="438" spans="16:16" x14ac:dyDescent="0.25">
      <c r="P438" s="6" t="s">
        <v>270</v>
      </c>
    </row>
    <row r="439" spans="16:16" x14ac:dyDescent="0.25">
      <c r="P439" s="6" t="s">
        <v>271</v>
      </c>
    </row>
    <row r="440" spans="16:16" x14ac:dyDescent="0.25">
      <c r="P440" s="6" t="s">
        <v>272</v>
      </c>
    </row>
    <row r="441" spans="16:16" x14ac:dyDescent="0.25">
      <c r="P441" s="6" t="s">
        <v>273</v>
      </c>
    </row>
    <row r="442" spans="16:16" x14ac:dyDescent="0.25">
      <c r="P442" s="6" t="s">
        <v>274</v>
      </c>
    </row>
    <row r="443" spans="16:16" x14ac:dyDescent="0.25">
      <c r="P443" s="6" t="s">
        <v>275</v>
      </c>
    </row>
    <row r="444" spans="16:16" x14ac:dyDescent="0.25">
      <c r="P444" s="6" t="s">
        <v>276</v>
      </c>
    </row>
    <row r="445" spans="16:16" x14ac:dyDescent="0.25">
      <c r="P445" s="6" t="s">
        <v>277</v>
      </c>
    </row>
    <row r="446" spans="16:16" x14ac:dyDescent="0.25">
      <c r="P446" s="6" t="s">
        <v>278</v>
      </c>
    </row>
    <row r="447" spans="16:16" x14ac:dyDescent="0.25">
      <c r="P447" s="6" t="s">
        <v>279</v>
      </c>
    </row>
    <row r="448" spans="16:16" x14ac:dyDescent="0.25">
      <c r="P448" s="6" t="s">
        <v>280</v>
      </c>
    </row>
    <row r="449" spans="16:16" x14ac:dyDescent="0.25">
      <c r="P449" s="6" t="s">
        <v>281</v>
      </c>
    </row>
    <row r="450" spans="16:16" x14ac:dyDescent="0.25">
      <c r="P450" s="6" t="s">
        <v>282</v>
      </c>
    </row>
    <row r="451" spans="16:16" x14ac:dyDescent="0.25">
      <c r="P451" s="6" t="s">
        <v>283</v>
      </c>
    </row>
    <row r="452" spans="16:16" x14ac:dyDescent="0.25">
      <c r="P452" s="6" t="s">
        <v>284</v>
      </c>
    </row>
    <row r="453" spans="16:16" x14ac:dyDescent="0.25">
      <c r="P453" s="6" t="s">
        <v>285</v>
      </c>
    </row>
    <row r="454" spans="16:16" x14ac:dyDescent="0.25">
      <c r="P454" s="6" t="s">
        <v>286</v>
      </c>
    </row>
    <row r="455" spans="16:16" x14ac:dyDescent="0.25">
      <c r="P455" s="6" t="s">
        <v>287</v>
      </c>
    </row>
    <row r="456" spans="16:16" x14ac:dyDescent="0.25">
      <c r="P456" s="6" t="s">
        <v>288</v>
      </c>
    </row>
    <row r="457" spans="16:16" x14ac:dyDescent="0.25">
      <c r="P457" s="6" t="s">
        <v>289</v>
      </c>
    </row>
    <row r="458" spans="16:16" x14ac:dyDescent="0.25">
      <c r="P458" s="6" t="s">
        <v>290</v>
      </c>
    </row>
    <row r="459" spans="16:16" x14ac:dyDescent="0.25">
      <c r="P459" s="6" t="s">
        <v>291</v>
      </c>
    </row>
    <row r="460" spans="16:16" x14ac:dyDescent="0.25">
      <c r="P460" s="6" t="s">
        <v>292</v>
      </c>
    </row>
    <row r="461" spans="16:16" x14ac:dyDescent="0.25">
      <c r="P461" s="6" t="s">
        <v>293</v>
      </c>
    </row>
    <row r="462" spans="16:16" x14ac:dyDescent="0.25">
      <c r="P462" s="6" t="s">
        <v>294</v>
      </c>
    </row>
    <row r="463" spans="16:16" x14ac:dyDescent="0.25">
      <c r="P463" s="6" t="s">
        <v>295</v>
      </c>
    </row>
    <row r="464" spans="16:16" x14ac:dyDescent="0.25">
      <c r="P464" s="6" t="s">
        <v>296</v>
      </c>
    </row>
    <row r="465" spans="16:16" x14ac:dyDescent="0.25">
      <c r="P465" s="6" t="s">
        <v>297</v>
      </c>
    </row>
    <row r="466" spans="16:16" x14ac:dyDescent="0.25">
      <c r="P466" s="6" t="s">
        <v>298</v>
      </c>
    </row>
    <row r="467" spans="16:16" x14ac:dyDescent="0.25">
      <c r="P467" s="6" t="s">
        <v>299</v>
      </c>
    </row>
    <row r="468" spans="16:16" x14ac:dyDescent="0.25">
      <c r="P468" s="6" t="s">
        <v>300</v>
      </c>
    </row>
    <row r="469" spans="16:16" x14ac:dyDescent="0.25">
      <c r="P469" s="6" t="s">
        <v>301</v>
      </c>
    </row>
    <row r="470" spans="16:16" x14ac:dyDescent="0.25">
      <c r="P470" s="6" t="s">
        <v>302</v>
      </c>
    </row>
    <row r="471" spans="16:16" x14ac:dyDescent="0.25">
      <c r="P471" s="6" t="s">
        <v>303</v>
      </c>
    </row>
    <row r="472" spans="16:16" x14ac:dyDescent="0.25">
      <c r="P472" s="6" t="s">
        <v>304</v>
      </c>
    </row>
    <row r="473" spans="16:16" x14ac:dyDescent="0.25">
      <c r="P473" s="6" t="s">
        <v>305</v>
      </c>
    </row>
    <row r="474" spans="16:16" x14ac:dyDescent="0.25">
      <c r="P474" s="6" t="s">
        <v>306</v>
      </c>
    </row>
    <row r="475" spans="16:16" x14ac:dyDescent="0.25">
      <c r="P475" s="6" t="s">
        <v>307</v>
      </c>
    </row>
    <row r="476" spans="16:16" x14ac:dyDescent="0.25">
      <c r="P476" s="6" t="s">
        <v>308</v>
      </c>
    </row>
    <row r="477" spans="16:16" x14ac:dyDescent="0.25">
      <c r="P477" s="6" t="s">
        <v>309</v>
      </c>
    </row>
    <row r="478" spans="16:16" x14ac:dyDescent="0.25">
      <c r="P478" s="6" t="s">
        <v>310</v>
      </c>
    </row>
    <row r="479" spans="16:16" x14ac:dyDescent="0.25">
      <c r="P479" s="6" t="s">
        <v>311</v>
      </c>
    </row>
    <row r="480" spans="16:16" x14ac:dyDescent="0.25">
      <c r="P480" s="6" t="s">
        <v>312</v>
      </c>
    </row>
    <row r="481" spans="16:16" x14ac:dyDescent="0.25">
      <c r="P481" s="6" t="s">
        <v>313</v>
      </c>
    </row>
    <row r="482" spans="16:16" x14ac:dyDescent="0.25">
      <c r="P482" s="6" t="s">
        <v>314</v>
      </c>
    </row>
    <row r="483" spans="16:16" x14ac:dyDescent="0.25">
      <c r="P483" s="6" t="s">
        <v>315</v>
      </c>
    </row>
    <row r="484" spans="16:16" x14ac:dyDescent="0.25">
      <c r="P484" s="6" t="s">
        <v>316</v>
      </c>
    </row>
    <row r="485" spans="16:16" x14ac:dyDescent="0.25">
      <c r="P485" s="6" t="s">
        <v>317</v>
      </c>
    </row>
    <row r="486" spans="16:16" x14ac:dyDescent="0.25">
      <c r="P486" s="6" t="s">
        <v>318</v>
      </c>
    </row>
    <row r="487" spans="16:16" x14ac:dyDescent="0.25">
      <c r="P487" s="6" t="s">
        <v>319</v>
      </c>
    </row>
    <row r="488" spans="16:16" x14ac:dyDescent="0.25">
      <c r="P488" s="6" t="s">
        <v>320</v>
      </c>
    </row>
    <row r="489" spans="16:16" x14ac:dyDescent="0.25">
      <c r="P489" s="6" t="s">
        <v>321</v>
      </c>
    </row>
    <row r="490" spans="16:16" x14ac:dyDescent="0.25">
      <c r="P490" s="6" t="s">
        <v>322</v>
      </c>
    </row>
    <row r="491" spans="16:16" x14ac:dyDescent="0.25">
      <c r="P491" s="6" t="s">
        <v>323</v>
      </c>
    </row>
    <row r="492" spans="16:16" x14ac:dyDescent="0.25">
      <c r="P492" s="6" t="s">
        <v>324</v>
      </c>
    </row>
    <row r="493" spans="16:16" x14ac:dyDescent="0.25">
      <c r="P493" s="6" t="s">
        <v>325</v>
      </c>
    </row>
    <row r="494" spans="16:16" x14ac:dyDescent="0.25">
      <c r="P494" s="6" t="s">
        <v>326</v>
      </c>
    </row>
    <row r="495" spans="16:16" x14ac:dyDescent="0.25">
      <c r="P495" s="6" t="s">
        <v>327</v>
      </c>
    </row>
    <row r="496" spans="16:16" x14ac:dyDescent="0.25">
      <c r="P496" s="6" t="s">
        <v>328</v>
      </c>
    </row>
    <row r="497" spans="16:16" x14ac:dyDescent="0.25">
      <c r="P497" s="6" t="s">
        <v>329</v>
      </c>
    </row>
    <row r="498" spans="16:16" x14ac:dyDescent="0.25">
      <c r="P498" s="6" t="s">
        <v>330</v>
      </c>
    </row>
    <row r="499" spans="16:16" x14ac:dyDescent="0.25">
      <c r="P499" s="6" t="s">
        <v>331</v>
      </c>
    </row>
    <row r="500" spans="16:16" x14ac:dyDescent="0.25">
      <c r="P500" s="6" t="s">
        <v>332</v>
      </c>
    </row>
    <row r="501" spans="16:16" x14ac:dyDescent="0.25">
      <c r="P501" s="6" t="s">
        <v>333</v>
      </c>
    </row>
    <row r="502" spans="16:16" x14ac:dyDescent="0.25">
      <c r="P502" s="6" t="s">
        <v>334</v>
      </c>
    </row>
    <row r="503" spans="16:16" x14ac:dyDescent="0.25">
      <c r="P503" s="6" t="s">
        <v>335</v>
      </c>
    </row>
    <row r="504" spans="16:16" x14ac:dyDescent="0.25">
      <c r="P504" s="6" t="s">
        <v>336</v>
      </c>
    </row>
    <row r="505" spans="16:16" x14ac:dyDescent="0.25">
      <c r="P505" s="6" t="s">
        <v>337</v>
      </c>
    </row>
    <row r="506" spans="16:16" x14ac:dyDescent="0.25">
      <c r="P506" s="6" t="s">
        <v>338</v>
      </c>
    </row>
    <row r="507" spans="16:16" x14ac:dyDescent="0.25">
      <c r="P507" s="6" t="s">
        <v>339</v>
      </c>
    </row>
    <row r="508" spans="16:16" x14ac:dyDescent="0.25">
      <c r="P508" s="6" t="s">
        <v>340</v>
      </c>
    </row>
    <row r="509" spans="16:16" x14ac:dyDescent="0.25">
      <c r="P509" s="6" t="s">
        <v>341</v>
      </c>
    </row>
    <row r="510" spans="16:16" x14ac:dyDescent="0.25">
      <c r="P510" s="6" t="s">
        <v>343</v>
      </c>
    </row>
    <row r="511" spans="16:16" x14ac:dyDescent="0.25">
      <c r="P511" s="6" t="s">
        <v>344</v>
      </c>
    </row>
    <row r="512" spans="16:16" x14ac:dyDescent="0.25">
      <c r="P512" s="6" t="s">
        <v>345</v>
      </c>
    </row>
    <row r="513" spans="16:16" x14ac:dyDescent="0.25">
      <c r="P513" s="6" t="s">
        <v>346</v>
      </c>
    </row>
    <row r="514" spans="16:16" x14ac:dyDescent="0.25">
      <c r="P514" s="6" t="s">
        <v>347</v>
      </c>
    </row>
    <row r="515" spans="16:16" x14ac:dyDescent="0.25">
      <c r="P515" s="6" t="s">
        <v>348</v>
      </c>
    </row>
    <row r="516" spans="16:16" x14ac:dyDescent="0.25">
      <c r="P516" s="6" t="s">
        <v>349</v>
      </c>
    </row>
    <row r="517" spans="16:16" x14ac:dyDescent="0.25">
      <c r="P517" s="6" t="s">
        <v>350</v>
      </c>
    </row>
    <row r="518" spans="16:16" x14ac:dyDescent="0.25">
      <c r="P518" s="6" t="s">
        <v>351</v>
      </c>
    </row>
    <row r="519" spans="16:16" x14ac:dyDescent="0.25">
      <c r="P519" s="6" t="s">
        <v>352</v>
      </c>
    </row>
    <row r="520" spans="16:16" x14ac:dyDescent="0.25">
      <c r="P520" s="6" t="s">
        <v>353</v>
      </c>
    </row>
    <row r="521" spans="16:16" x14ac:dyDescent="0.25">
      <c r="P521" s="6" t="s">
        <v>354</v>
      </c>
    </row>
    <row r="522" spans="16:16" x14ac:dyDescent="0.25">
      <c r="P522" s="6" t="s">
        <v>355</v>
      </c>
    </row>
    <row r="523" spans="16:16" x14ac:dyDescent="0.25">
      <c r="P523" s="6" t="s">
        <v>356</v>
      </c>
    </row>
    <row r="524" spans="16:16" x14ac:dyDescent="0.25">
      <c r="P524" s="6" t="s">
        <v>357</v>
      </c>
    </row>
    <row r="525" spans="16:16" x14ac:dyDescent="0.25">
      <c r="P525" s="6" t="s">
        <v>358</v>
      </c>
    </row>
    <row r="526" spans="16:16" x14ac:dyDescent="0.25">
      <c r="P526" s="6" t="s">
        <v>359</v>
      </c>
    </row>
    <row r="527" spans="16:16" x14ac:dyDescent="0.25">
      <c r="P527" s="6" t="s">
        <v>360</v>
      </c>
    </row>
    <row r="528" spans="16:16" x14ac:dyDescent="0.25">
      <c r="P528" s="6" t="s">
        <v>361</v>
      </c>
    </row>
    <row r="529" spans="16:16" x14ac:dyDescent="0.25">
      <c r="P529" s="6" t="s">
        <v>362</v>
      </c>
    </row>
    <row r="530" spans="16:16" x14ac:dyDescent="0.25">
      <c r="P530" s="6" t="s">
        <v>363</v>
      </c>
    </row>
    <row r="531" spans="16:16" x14ac:dyDescent="0.25">
      <c r="P531" s="6" t="s">
        <v>364</v>
      </c>
    </row>
    <row r="532" spans="16:16" x14ac:dyDescent="0.25">
      <c r="P532" s="6" t="s">
        <v>365</v>
      </c>
    </row>
    <row r="533" spans="16:16" x14ac:dyDescent="0.25">
      <c r="P533" s="6" t="s">
        <v>366</v>
      </c>
    </row>
    <row r="534" spans="16:16" x14ac:dyDescent="0.25">
      <c r="P534" s="6" t="s">
        <v>367</v>
      </c>
    </row>
    <row r="535" spans="16:16" x14ac:dyDescent="0.25">
      <c r="P535" s="6" t="s">
        <v>368</v>
      </c>
    </row>
    <row r="536" spans="16:16" x14ac:dyDescent="0.25">
      <c r="P536" s="6" t="s">
        <v>369</v>
      </c>
    </row>
    <row r="537" spans="16:16" x14ac:dyDescent="0.25">
      <c r="P537" s="6" t="s">
        <v>370</v>
      </c>
    </row>
    <row r="538" spans="16:16" x14ac:dyDescent="0.25">
      <c r="P538" s="6" t="s">
        <v>371</v>
      </c>
    </row>
    <row r="539" spans="16:16" x14ac:dyDescent="0.25">
      <c r="P539" s="6" t="s">
        <v>372</v>
      </c>
    </row>
    <row r="540" spans="16:16" x14ac:dyDescent="0.25">
      <c r="P540" s="6" t="s">
        <v>373</v>
      </c>
    </row>
    <row r="541" spans="16:16" x14ac:dyDescent="0.25">
      <c r="P541" s="6" t="s">
        <v>374</v>
      </c>
    </row>
    <row r="542" spans="16:16" x14ac:dyDescent="0.25">
      <c r="P542" s="6" t="s">
        <v>375</v>
      </c>
    </row>
    <row r="543" spans="16:16" x14ac:dyDescent="0.25">
      <c r="P543" s="6" t="s">
        <v>376</v>
      </c>
    </row>
    <row r="544" spans="16:16" x14ac:dyDescent="0.25">
      <c r="P544" s="6" t="s">
        <v>377</v>
      </c>
    </row>
    <row r="545" spans="16:16" x14ac:dyDescent="0.25">
      <c r="P545" s="6" t="s">
        <v>378</v>
      </c>
    </row>
    <row r="546" spans="16:16" x14ac:dyDescent="0.25">
      <c r="P546" s="6" t="s">
        <v>379</v>
      </c>
    </row>
    <row r="547" spans="16:16" x14ac:dyDescent="0.25">
      <c r="P547" s="6" t="s">
        <v>380</v>
      </c>
    </row>
    <row r="548" spans="16:16" x14ac:dyDescent="0.25">
      <c r="P548" s="6" t="s">
        <v>381</v>
      </c>
    </row>
    <row r="549" spans="16:16" x14ac:dyDescent="0.25">
      <c r="P549" s="6" t="s">
        <v>382</v>
      </c>
    </row>
    <row r="550" spans="16:16" x14ac:dyDescent="0.25">
      <c r="P550" s="6" t="s">
        <v>383</v>
      </c>
    </row>
    <row r="551" spans="16:16" x14ac:dyDescent="0.25">
      <c r="P551" s="6" t="s">
        <v>384</v>
      </c>
    </row>
    <row r="552" spans="16:16" x14ac:dyDescent="0.25">
      <c r="P552" s="6" t="s">
        <v>385</v>
      </c>
    </row>
    <row r="553" spans="16:16" x14ac:dyDescent="0.25">
      <c r="P553" s="6" t="s">
        <v>386</v>
      </c>
    </row>
    <row r="554" spans="16:16" x14ac:dyDescent="0.25">
      <c r="P554" s="6" t="s">
        <v>387</v>
      </c>
    </row>
    <row r="555" spans="16:16" x14ac:dyDescent="0.25">
      <c r="P555" s="6" t="s">
        <v>388</v>
      </c>
    </row>
    <row r="556" spans="16:16" x14ac:dyDescent="0.25">
      <c r="P556" s="6" t="s">
        <v>389</v>
      </c>
    </row>
    <row r="557" spans="16:16" x14ac:dyDescent="0.25">
      <c r="P557" s="6" t="s">
        <v>390</v>
      </c>
    </row>
    <row r="558" spans="16:16" x14ac:dyDescent="0.25">
      <c r="P558" s="6" t="s">
        <v>391</v>
      </c>
    </row>
    <row r="559" spans="16:16" x14ac:dyDescent="0.25">
      <c r="P559" s="6" t="s">
        <v>392</v>
      </c>
    </row>
    <row r="560" spans="16:16" x14ac:dyDescent="0.25">
      <c r="P560" s="6" t="s">
        <v>393</v>
      </c>
    </row>
    <row r="561" spans="16:16" x14ac:dyDescent="0.25">
      <c r="P561" s="6" t="s">
        <v>394</v>
      </c>
    </row>
    <row r="562" spans="16:16" x14ac:dyDescent="0.25">
      <c r="P562" s="6" t="s">
        <v>395</v>
      </c>
    </row>
    <row r="563" spans="16:16" x14ac:dyDescent="0.25">
      <c r="P563" s="6" t="s">
        <v>396</v>
      </c>
    </row>
    <row r="564" spans="16:16" x14ac:dyDescent="0.25">
      <c r="P564" s="6" t="s">
        <v>397</v>
      </c>
    </row>
    <row r="565" spans="16:16" x14ac:dyDescent="0.25">
      <c r="P565" s="6" t="s">
        <v>398</v>
      </c>
    </row>
    <row r="566" spans="16:16" x14ac:dyDescent="0.25">
      <c r="P566" s="6" t="s">
        <v>399</v>
      </c>
    </row>
    <row r="567" spans="16:16" x14ac:dyDescent="0.25">
      <c r="P567" s="6" t="s">
        <v>400</v>
      </c>
    </row>
    <row r="568" spans="16:16" x14ac:dyDescent="0.25">
      <c r="P568" s="6" t="s">
        <v>401</v>
      </c>
    </row>
    <row r="569" spans="16:16" x14ac:dyDescent="0.25">
      <c r="P569" s="6" t="s">
        <v>402</v>
      </c>
    </row>
    <row r="570" spans="16:16" x14ac:dyDescent="0.25">
      <c r="P570" s="6" t="s">
        <v>403</v>
      </c>
    </row>
    <row r="571" spans="16:16" x14ac:dyDescent="0.25">
      <c r="P571" s="6" t="s">
        <v>404</v>
      </c>
    </row>
    <row r="572" spans="16:16" x14ac:dyDescent="0.25">
      <c r="P572" s="6" t="s">
        <v>405</v>
      </c>
    </row>
    <row r="573" spans="16:16" x14ac:dyDescent="0.25">
      <c r="P573" s="6" t="s">
        <v>406</v>
      </c>
    </row>
    <row r="574" spans="16:16" x14ac:dyDescent="0.25">
      <c r="P574" s="6" t="s">
        <v>407</v>
      </c>
    </row>
    <row r="575" spans="16:16" x14ac:dyDescent="0.25">
      <c r="P575" s="6" t="s">
        <v>408</v>
      </c>
    </row>
    <row r="576" spans="16:16" x14ac:dyDescent="0.25">
      <c r="P576" s="6" t="s">
        <v>409</v>
      </c>
    </row>
    <row r="577" spans="16:16" x14ac:dyDescent="0.25">
      <c r="P577" s="6" t="s">
        <v>412</v>
      </c>
    </row>
    <row r="578" spans="16:16" x14ac:dyDescent="0.25">
      <c r="P578" s="6" t="s">
        <v>413</v>
      </c>
    </row>
    <row r="579" spans="16:16" x14ac:dyDescent="0.25">
      <c r="P579" s="6" t="s">
        <v>414</v>
      </c>
    </row>
    <row r="580" spans="16:16" x14ac:dyDescent="0.25">
      <c r="P580" s="6" t="s">
        <v>415</v>
      </c>
    </row>
    <row r="581" spans="16:16" x14ac:dyDescent="0.25">
      <c r="P581" s="6" t="s">
        <v>416</v>
      </c>
    </row>
    <row r="582" spans="16:16" x14ac:dyDescent="0.25">
      <c r="P582" s="6" t="s">
        <v>417</v>
      </c>
    </row>
    <row r="583" spans="16:16" x14ac:dyDescent="0.25">
      <c r="P583" s="6" t="s">
        <v>418</v>
      </c>
    </row>
    <row r="584" spans="16:16" x14ac:dyDescent="0.25">
      <c r="P584" s="6" t="s">
        <v>419</v>
      </c>
    </row>
    <row r="585" spans="16:16" x14ac:dyDescent="0.25">
      <c r="P585" s="6" t="s">
        <v>420</v>
      </c>
    </row>
    <row r="586" spans="16:16" x14ac:dyDescent="0.25">
      <c r="P586" s="6" t="s">
        <v>421</v>
      </c>
    </row>
    <row r="587" spans="16:16" x14ac:dyDescent="0.25">
      <c r="P587" s="6" t="s">
        <v>422</v>
      </c>
    </row>
    <row r="588" spans="16:16" x14ac:dyDescent="0.25">
      <c r="P588" s="6" t="s">
        <v>423</v>
      </c>
    </row>
    <row r="589" spans="16:16" x14ac:dyDescent="0.25">
      <c r="P589" s="6" t="s">
        <v>424</v>
      </c>
    </row>
    <row r="590" spans="16:16" x14ac:dyDescent="0.25">
      <c r="P590" s="6" t="s">
        <v>425</v>
      </c>
    </row>
    <row r="591" spans="16:16" x14ac:dyDescent="0.25">
      <c r="P591" s="6" t="s">
        <v>426</v>
      </c>
    </row>
    <row r="592" spans="16:16" x14ac:dyDescent="0.25">
      <c r="P592" s="6" t="s">
        <v>427</v>
      </c>
    </row>
    <row r="593" spans="16:16" x14ac:dyDescent="0.25">
      <c r="P593" s="6" t="s">
        <v>428</v>
      </c>
    </row>
    <row r="594" spans="16:16" x14ac:dyDescent="0.25">
      <c r="P594" s="6" t="s">
        <v>429</v>
      </c>
    </row>
    <row r="595" spans="16:16" x14ac:dyDescent="0.25">
      <c r="P595" s="6" t="s">
        <v>430</v>
      </c>
    </row>
    <row r="596" spans="16:16" x14ac:dyDescent="0.25">
      <c r="P596" s="6" t="s">
        <v>431</v>
      </c>
    </row>
    <row r="597" spans="16:16" x14ac:dyDescent="0.25">
      <c r="P597" s="6" t="s">
        <v>432</v>
      </c>
    </row>
    <row r="598" spans="16:16" x14ac:dyDescent="0.25">
      <c r="P598" s="6" t="s">
        <v>433</v>
      </c>
    </row>
    <row r="599" spans="16:16" x14ac:dyDescent="0.25">
      <c r="P599" s="6" t="s">
        <v>434</v>
      </c>
    </row>
    <row r="600" spans="16:16" x14ac:dyDescent="0.25">
      <c r="P600" s="6" t="s">
        <v>435</v>
      </c>
    </row>
    <row r="601" spans="16:16" x14ac:dyDescent="0.25">
      <c r="P601" s="6" t="s">
        <v>436</v>
      </c>
    </row>
    <row r="602" spans="16:16" x14ac:dyDescent="0.25">
      <c r="P602" s="6" t="s">
        <v>437</v>
      </c>
    </row>
    <row r="603" spans="16:16" x14ac:dyDescent="0.25">
      <c r="P603" s="6" t="s">
        <v>438</v>
      </c>
    </row>
    <row r="604" spans="16:16" x14ac:dyDescent="0.25">
      <c r="P604" s="6" t="s">
        <v>439</v>
      </c>
    </row>
    <row r="605" spans="16:16" x14ac:dyDescent="0.25">
      <c r="P605" s="6" t="s">
        <v>440</v>
      </c>
    </row>
    <row r="606" spans="16:16" x14ac:dyDescent="0.25">
      <c r="P606" s="6" t="s">
        <v>441</v>
      </c>
    </row>
    <row r="607" spans="16:16" x14ac:dyDescent="0.25">
      <c r="P607" s="6" t="s">
        <v>442</v>
      </c>
    </row>
    <row r="608" spans="16:16" x14ac:dyDescent="0.25">
      <c r="P608" s="6" t="s">
        <v>443</v>
      </c>
    </row>
    <row r="609" spans="16:16" x14ac:dyDescent="0.25">
      <c r="P609" s="6" t="s">
        <v>444</v>
      </c>
    </row>
    <row r="610" spans="16:16" x14ac:dyDescent="0.25">
      <c r="P610" s="6" t="s">
        <v>445</v>
      </c>
    </row>
    <row r="611" spans="16:16" x14ac:dyDescent="0.25">
      <c r="P611" s="6" t="s">
        <v>446</v>
      </c>
    </row>
    <row r="612" spans="16:16" x14ac:dyDescent="0.25">
      <c r="P612" s="6" t="s">
        <v>447</v>
      </c>
    </row>
    <row r="613" spans="16:16" x14ac:dyDescent="0.25">
      <c r="P613" s="6" t="s">
        <v>448</v>
      </c>
    </row>
    <row r="614" spans="16:16" x14ac:dyDescent="0.25">
      <c r="P614" s="6" t="s">
        <v>449</v>
      </c>
    </row>
    <row r="615" spans="16:16" x14ac:dyDescent="0.25">
      <c r="P615" s="6" t="s">
        <v>450</v>
      </c>
    </row>
    <row r="616" spans="16:16" x14ac:dyDescent="0.25">
      <c r="P616" s="6" t="s">
        <v>451</v>
      </c>
    </row>
    <row r="617" spans="16:16" x14ac:dyDescent="0.25">
      <c r="P617" s="6" t="s">
        <v>452</v>
      </c>
    </row>
    <row r="618" spans="16:16" x14ac:dyDescent="0.25">
      <c r="P618" s="6" t="s">
        <v>453</v>
      </c>
    </row>
    <row r="619" spans="16:16" x14ac:dyDescent="0.25">
      <c r="P619" s="6" t="s">
        <v>454</v>
      </c>
    </row>
    <row r="620" spans="16:16" x14ac:dyDescent="0.25">
      <c r="P620" s="6" t="s">
        <v>455</v>
      </c>
    </row>
    <row r="621" spans="16:16" x14ac:dyDescent="0.25">
      <c r="P621" s="6" t="s">
        <v>456</v>
      </c>
    </row>
    <row r="622" spans="16:16" x14ac:dyDescent="0.25">
      <c r="P622" s="6" t="s">
        <v>457</v>
      </c>
    </row>
    <row r="623" spans="16:16" x14ac:dyDescent="0.25">
      <c r="P623" s="6" t="s">
        <v>458</v>
      </c>
    </row>
    <row r="624" spans="16:16" x14ac:dyDescent="0.25">
      <c r="P624" s="6" t="s">
        <v>459</v>
      </c>
    </row>
    <row r="625" spans="16:16" x14ac:dyDescent="0.25">
      <c r="P625" s="6" t="s">
        <v>460</v>
      </c>
    </row>
    <row r="626" spans="16:16" x14ac:dyDescent="0.25">
      <c r="P626" s="6" t="s">
        <v>461</v>
      </c>
    </row>
    <row r="627" spans="16:16" x14ac:dyDescent="0.25">
      <c r="P627" s="6" t="s">
        <v>462</v>
      </c>
    </row>
    <row r="628" spans="16:16" x14ac:dyDescent="0.25">
      <c r="P628" s="6" t="s">
        <v>463</v>
      </c>
    </row>
    <row r="629" spans="16:16" x14ac:dyDescent="0.25">
      <c r="P629" s="6" t="s">
        <v>464</v>
      </c>
    </row>
    <row r="630" spans="16:16" x14ac:dyDescent="0.25">
      <c r="P630" s="6" t="s">
        <v>465</v>
      </c>
    </row>
    <row r="631" spans="16:16" x14ac:dyDescent="0.25">
      <c r="P631" s="6" t="s">
        <v>466</v>
      </c>
    </row>
    <row r="632" spans="16:16" x14ac:dyDescent="0.25">
      <c r="P632" s="6" t="s">
        <v>467</v>
      </c>
    </row>
    <row r="633" spans="16:16" x14ac:dyDescent="0.25">
      <c r="P633" s="6" t="s">
        <v>468</v>
      </c>
    </row>
    <row r="634" spans="16:16" x14ac:dyDescent="0.25">
      <c r="P634" s="6" t="s">
        <v>469</v>
      </c>
    </row>
    <row r="635" spans="16:16" x14ac:dyDescent="0.25">
      <c r="P635" s="6" t="s">
        <v>470</v>
      </c>
    </row>
    <row r="636" spans="16:16" x14ac:dyDescent="0.25">
      <c r="P636" s="6" t="s">
        <v>471</v>
      </c>
    </row>
    <row r="637" spans="16:16" x14ac:dyDescent="0.25">
      <c r="P637" s="6" t="s">
        <v>472</v>
      </c>
    </row>
    <row r="638" spans="16:16" x14ac:dyDescent="0.25">
      <c r="P638" s="6" t="s">
        <v>474</v>
      </c>
    </row>
    <row r="639" spans="16:16" x14ac:dyDescent="0.25">
      <c r="P639" s="6" t="s">
        <v>475</v>
      </c>
    </row>
    <row r="640" spans="16:16" x14ac:dyDescent="0.25">
      <c r="P640" s="6" t="s">
        <v>477</v>
      </c>
    </row>
    <row r="641" spans="16:16" x14ac:dyDescent="0.25">
      <c r="P641" s="6" t="s">
        <v>478</v>
      </c>
    </row>
    <row r="642" spans="16:16" x14ac:dyDescent="0.25">
      <c r="P642" s="6" t="s">
        <v>479</v>
      </c>
    </row>
    <row r="643" spans="16:16" x14ac:dyDescent="0.25">
      <c r="P643" s="6" t="s">
        <v>480</v>
      </c>
    </row>
    <row r="644" spans="16:16" x14ac:dyDescent="0.25">
      <c r="P644" s="6" t="s">
        <v>481</v>
      </c>
    </row>
    <row r="645" spans="16:16" x14ac:dyDescent="0.25">
      <c r="P645" s="6" t="s">
        <v>482</v>
      </c>
    </row>
    <row r="646" spans="16:16" x14ac:dyDescent="0.25">
      <c r="P646" s="6" t="s">
        <v>483</v>
      </c>
    </row>
    <row r="647" spans="16:16" x14ac:dyDescent="0.25">
      <c r="P647" s="6" t="s">
        <v>484</v>
      </c>
    </row>
    <row r="648" spans="16:16" x14ac:dyDescent="0.25">
      <c r="P648" s="6" t="s">
        <v>485</v>
      </c>
    </row>
    <row r="649" spans="16:16" x14ac:dyDescent="0.25">
      <c r="P649" s="6" t="s">
        <v>486</v>
      </c>
    </row>
    <row r="650" spans="16:16" x14ac:dyDescent="0.25">
      <c r="P650" s="6" t="s">
        <v>487</v>
      </c>
    </row>
    <row r="651" spans="16:16" x14ac:dyDescent="0.25">
      <c r="P651" s="6" t="s">
        <v>488</v>
      </c>
    </row>
    <row r="652" spans="16:16" x14ac:dyDescent="0.25">
      <c r="P652" s="6" t="s">
        <v>489</v>
      </c>
    </row>
    <row r="653" spans="16:16" x14ac:dyDescent="0.25">
      <c r="P653" s="6" t="s">
        <v>490</v>
      </c>
    </row>
    <row r="654" spans="16:16" x14ac:dyDescent="0.25">
      <c r="P654" s="6" t="s">
        <v>491</v>
      </c>
    </row>
    <row r="655" spans="16:16" x14ac:dyDescent="0.25">
      <c r="P655" s="6" t="s">
        <v>492</v>
      </c>
    </row>
    <row r="656" spans="16:16" x14ac:dyDescent="0.25">
      <c r="P656" s="6" t="s">
        <v>493</v>
      </c>
    </row>
    <row r="657" spans="16:16" x14ac:dyDescent="0.25">
      <c r="P657" s="6" t="s">
        <v>494</v>
      </c>
    </row>
    <row r="658" spans="16:16" x14ac:dyDescent="0.25">
      <c r="P658" s="6" t="s">
        <v>495</v>
      </c>
    </row>
    <row r="659" spans="16:16" x14ac:dyDescent="0.25">
      <c r="P659" s="6" t="s">
        <v>496</v>
      </c>
    </row>
    <row r="660" spans="16:16" x14ac:dyDescent="0.25">
      <c r="P660" s="6" t="s">
        <v>497</v>
      </c>
    </row>
    <row r="661" spans="16:16" x14ac:dyDescent="0.25">
      <c r="P661" s="6" t="s">
        <v>498</v>
      </c>
    </row>
    <row r="662" spans="16:16" x14ac:dyDescent="0.25">
      <c r="P662" s="6" t="s">
        <v>499</v>
      </c>
    </row>
    <row r="663" spans="16:16" x14ac:dyDescent="0.25">
      <c r="P663" s="6" t="s">
        <v>500</v>
      </c>
    </row>
    <row r="664" spans="16:16" x14ac:dyDescent="0.25">
      <c r="P664" s="6" t="s">
        <v>501</v>
      </c>
    </row>
    <row r="665" spans="16:16" x14ac:dyDescent="0.25">
      <c r="P665" s="6" t="s">
        <v>502</v>
      </c>
    </row>
    <row r="666" spans="16:16" x14ac:dyDescent="0.25">
      <c r="P666" s="6" t="s">
        <v>503</v>
      </c>
    </row>
    <row r="667" spans="16:16" x14ac:dyDescent="0.25">
      <c r="P667" s="6" t="s">
        <v>504</v>
      </c>
    </row>
    <row r="668" spans="16:16" x14ac:dyDescent="0.25">
      <c r="P668" s="6" t="s">
        <v>505</v>
      </c>
    </row>
    <row r="669" spans="16:16" x14ac:dyDescent="0.25">
      <c r="P669" s="6" t="s">
        <v>506</v>
      </c>
    </row>
    <row r="670" spans="16:16" x14ac:dyDescent="0.25">
      <c r="P670" s="6" t="s">
        <v>507</v>
      </c>
    </row>
    <row r="671" spans="16:16" x14ac:dyDescent="0.25">
      <c r="P671" s="6" t="s">
        <v>508</v>
      </c>
    </row>
    <row r="672" spans="16:16" x14ac:dyDescent="0.25">
      <c r="P672" s="6" t="s">
        <v>509</v>
      </c>
    </row>
    <row r="673" spans="16:16" x14ac:dyDescent="0.25">
      <c r="P673" s="6" t="s">
        <v>510</v>
      </c>
    </row>
    <row r="674" spans="16:16" x14ac:dyDescent="0.25">
      <c r="P674" s="6" t="s">
        <v>511</v>
      </c>
    </row>
    <row r="675" spans="16:16" x14ac:dyDescent="0.25">
      <c r="P675" s="6" t="s">
        <v>512</v>
      </c>
    </row>
    <row r="676" spans="16:16" x14ac:dyDescent="0.25">
      <c r="P676" s="6" t="s">
        <v>513</v>
      </c>
    </row>
    <row r="677" spans="16:16" x14ac:dyDescent="0.25">
      <c r="P677" s="6" t="s">
        <v>514</v>
      </c>
    </row>
    <row r="678" spans="16:16" x14ac:dyDescent="0.25">
      <c r="P678" s="6" t="s">
        <v>515</v>
      </c>
    </row>
    <row r="679" spans="16:16" x14ac:dyDescent="0.25">
      <c r="P679" s="6" t="s">
        <v>516</v>
      </c>
    </row>
    <row r="680" spans="16:16" x14ac:dyDescent="0.25">
      <c r="P680" s="6" t="s">
        <v>517</v>
      </c>
    </row>
    <row r="681" spans="16:16" x14ac:dyDescent="0.25">
      <c r="P681" s="6" t="s">
        <v>518</v>
      </c>
    </row>
    <row r="682" spans="16:16" x14ac:dyDescent="0.25">
      <c r="P682" s="6" t="s">
        <v>519</v>
      </c>
    </row>
    <row r="683" spans="16:16" x14ac:dyDescent="0.25">
      <c r="P683" s="6" t="s">
        <v>520</v>
      </c>
    </row>
    <row r="684" spans="16:16" x14ac:dyDescent="0.25">
      <c r="P684" s="6" t="s">
        <v>521</v>
      </c>
    </row>
    <row r="685" spans="16:16" x14ac:dyDescent="0.25">
      <c r="P685" s="6" t="s">
        <v>522</v>
      </c>
    </row>
    <row r="686" spans="16:16" x14ac:dyDescent="0.25">
      <c r="P686" s="6" t="s">
        <v>523</v>
      </c>
    </row>
    <row r="687" spans="16:16" x14ac:dyDescent="0.25">
      <c r="P687" s="6" t="s">
        <v>524</v>
      </c>
    </row>
    <row r="688" spans="16:16" x14ac:dyDescent="0.25">
      <c r="P688" s="6" t="s">
        <v>525</v>
      </c>
    </row>
    <row r="689" spans="16:16" x14ac:dyDescent="0.25">
      <c r="P689" s="6" t="s">
        <v>526</v>
      </c>
    </row>
    <row r="690" spans="16:16" x14ac:dyDescent="0.25">
      <c r="P690" s="6" t="s">
        <v>527</v>
      </c>
    </row>
    <row r="691" spans="16:16" x14ac:dyDescent="0.25">
      <c r="P691" s="6" t="s">
        <v>528</v>
      </c>
    </row>
    <row r="692" spans="16:16" x14ac:dyDescent="0.25">
      <c r="P692" s="6" t="s">
        <v>529</v>
      </c>
    </row>
    <row r="693" spans="16:16" x14ac:dyDescent="0.25">
      <c r="P693" s="6" t="s">
        <v>530</v>
      </c>
    </row>
    <row r="694" spans="16:16" x14ac:dyDescent="0.25">
      <c r="P694" s="6" t="s">
        <v>531</v>
      </c>
    </row>
    <row r="695" spans="16:16" x14ac:dyDescent="0.25">
      <c r="P695" s="6" t="s">
        <v>532</v>
      </c>
    </row>
    <row r="696" spans="16:16" x14ac:dyDescent="0.25">
      <c r="P696" s="6" t="s">
        <v>533</v>
      </c>
    </row>
    <row r="697" spans="16:16" x14ac:dyDescent="0.25">
      <c r="P697" s="6" t="s">
        <v>534</v>
      </c>
    </row>
    <row r="698" spans="16:16" x14ac:dyDescent="0.25">
      <c r="P698" s="6" t="s">
        <v>535</v>
      </c>
    </row>
    <row r="699" spans="16:16" x14ac:dyDescent="0.25">
      <c r="P699" s="6" t="s">
        <v>536</v>
      </c>
    </row>
    <row r="700" spans="16:16" x14ac:dyDescent="0.25">
      <c r="P700" s="6" t="s">
        <v>537</v>
      </c>
    </row>
    <row r="701" spans="16:16" x14ac:dyDescent="0.25">
      <c r="P701" s="6" t="s">
        <v>538</v>
      </c>
    </row>
    <row r="702" spans="16:16" x14ac:dyDescent="0.25">
      <c r="P702" s="6" t="s">
        <v>539</v>
      </c>
    </row>
    <row r="703" spans="16:16" x14ac:dyDescent="0.25">
      <c r="P703" s="6" t="s">
        <v>540</v>
      </c>
    </row>
    <row r="704" spans="16:16" x14ac:dyDescent="0.25">
      <c r="P704" s="6" t="s">
        <v>541</v>
      </c>
    </row>
    <row r="705" spans="16:16" x14ac:dyDescent="0.25">
      <c r="P705" s="6" t="s">
        <v>542</v>
      </c>
    </row>
    <row r="706" spans="16:16" x14ac:dyDescent="0.25">
      <c r="P706" s="6" t="s">
        <v>543</v>
      </c>
    </row>
    <row r="707" spans="16:16" x14ac:dyDescent="0.25">
      <c r="P707" s="6" t="s">
        <v>544</v>
      </c>
    </row>
    <row r="708" spans="16:16" x14ac:dyDescent="0.25">
      <c r="P708" s="6" t="s">
        <v>545</v>
      </c>
    </row>
    <row r="709" spans="16:16" x14ac:dyDescent="0.25">
      <c r="P709" s="6" t="s">
        <v>546</v>
      </c>
    </row>
    <row r="710" spans="16:16" x14ac:dyDescent="0.25">
      <c r="P710" s="6" t="s">
        <v>547</v>
      </c>
    </row>
    <row r="711" spans="16:16" x14ac:dyDescent="0.25">
      <c r="P711" s="6" t="s">
        <v>548</v>
      </c>
    </row>
    <row r="712" spans="16:16" x14ac:dyDescent="0.25">
      <c r="P712" s="6" t="s">
        <v>549</v>
      </c>
    </row>
    <row r="713" spans="16:16" x14ac:dyDescent="0.25">
      <c r="P713" s="6" t="s">
        <v>550</v>
      </c>
    </row>
    <row r="714" spans="16:16" x14ac:dyDescent="0.25">
      <c r="P714" s="6" t="s">
        <v>551</v>
      </c>
    </row>
    <row r="715" spans="16:16" x14ac:dyDescent="0.25">
      <c r="P715" s="6" t="s">
        <v>552</v>
      </c>
    </row>
    <row r="716" spans="16:16" x14ac:dyDescent="0.25">
      <c r="P716" s="6" t="s">
        <v>553</v>
      </c>
    </row>
    <row r="717" spans="16:16" x14ac:dyDescent="0.25">
      <c r="P717" s="6" t="s">
        <v>554</v>
      </c>
    </row>
    <row r="718" spans="16:16" x14ac:dyDescent="0.25">
      <c r="P718" s="6" t="s">
        <v>555</v>
      </c>
    </row>
    <row r="719" spans="16:16" x14ac:dyDescent="0.25">
      <c r="P719" s="6" t="s">
        <v>556</v>
      </c>
    </row>
    <row r="720" spans="16:16" x14ac:dyDescent="0.25">
      <c r="P720" s="6" t="s">
        <v>557</v>
      </c>
    </row>
    <row r="721" spans="16:16" x14ac:dyDescent="0.25">
      <c r="P721" s="6" t="s">
        <v>558</v>
      </c>
    </row>
    <row r="722" spans="16:16" x14ac:dyDescent="0.25">
      <c r="P722" s="6" t="s">
        <v>559</v>
      </c>
    </row>
    <row r="723" spans="16:16" x14ac:dyDescent="0.25">
      <c r="P723" s="6" t="s">
        <v>560</v>
      </c>
    </row>
    <row r="724" spans="16:16" x14ac:dyDescent="0.25">
      <c r="P724" s="6" t="s">
        <v>561</v>
      </c>
    </row>
    <row r="725" spans="16:16" x14ac:dyDescent="0.25">
      <c r="P725" s="6" t="s">
        <v>562</v>
      </c>
    </row>
    <row r="726" spans="16:16" x14ac:dyDescent="0.25">
      <c r="P726" s="6" t="s">
        <v>563</v>
      </c>
    </row>
    <row r="727" spans="16:16" x14ac:dyDescent="0.25">
      <c r="P727" s="6" t="s">
        <v>564</v>
      </c>
    </row>
    <row r="728" spans="16:16" x14ac:dyDescent="0.25">
      <c r="P728" s="6" t="s">
        <v>565</v>
      </c>
    </row>
    <row r="729" spans="16:16" x14ac:dyDescent="0.25">
      <c r="P729" s="6" t="s">
        <v>566</v>
      </c>
    </row>
    <row r="730" spans="16:16" x14ac:dyDescent="0.25">
      <c r="P730" s="6" t="s">
        <v>567</v>
      </c>
    </row>
    <row r="731" spans="16:16" x14ac:dyDescent="0.25">
      <c r="P731" s="6" t="s">
        <v>568</v>
      </c>
    </row>
    <row r="732" spans="16:16" x14ac:dyDescent="0.25">
      <c r="P732" s="6" t="s">
        <v>569</v>
      </c>
    </row>
    <row r="733" spans="16:16" x14ac:dyDescent="0.25">
      <c r="P733" s="6" t="s">
        <v>570</v>
      </c>
    </row>
    <row r="734" spans="16:16" x14ac:dyDescent="0.25">
      <c r="P734" s="6" t="s">
        <v>571</v>
      </c>
    </row>
    <row r="735" spans="16:16" x14ac:dyDescent="0.25">
      <c r="P735" s="6" t="s">
        <v>572</v>
      </c>
    </row>
    <row r="736" spans="16:16" x14ac:dyDescent="0.25">
      <c r="P736" s="6" t="s">
        <v>573</v>
      </c>
    </row>
    <row r="737" spans="16:16" x14ac:dyDescent="0.25">
      <c r="P737" s="6" t="s">
        <v>574</v>
      </c>
    </row>
    <row r="738" spans="16:16" x14ac:dyDescent="0.25">
      <c r="P738" s="6" t="s">
        <v>576</v>
      </c>
    </row>
    <row r="739" spans="16:16" x14ac:dyDescent="0.25">
      <c r="P739" s="6" t="s">
        <v>577</v>
      </c>
    </row>
    <row r="740" spans="16:16" x14ac:dyDescent="0.25">
      <c r="P740" s="6" t="s">
        <v>578</v>
      </c>
    </row>
    <row r="741" spans="16:16" x14ac:dyDescent="0.25">
      <c r="P741" s="6" t="s">
        <v>579</v>
      </c>
    </row>
    <row r="742" spans="16:16" x14ac:dyDescent="0.25">
      <c r="P742" s="6" t="s">
        <v>580</v>
      </c>
    </row>
    <row r="743" spans="16:16" x14ac:dyDescent="0.25">
      <c r="P743" s="6" t="s">
        <v>581</v>
      </c>
    </row>
    <row r="744" spans="16:16" x14ac:dyDescent="0.25">
      <c r="P744" s="6" t="s">
        <v>582</v>
      </c>
    </row>
    <row r="745" spans="16:16" x14ac:dyDescent="0.25">
      <c r="P745" s="6" t="s">
        <v>583</v>
      </c>
    </row>
    <row r="746" spans="16:16" x14ac:dyDescent="0.25">
      <c r="P746" s="6" t="s">
        <v>584</v>
      </c>
    </row>
    <row r="747" spans="16:16" x14ac:dyDescent="0.25">
      <c r="P747" s="6" t="s">
        <v>586</v>
      </c>
    </row>
    <row r="748" spans="16:16" x14ac:dyDescent="0.25">
      <c r="P748" s="6" t="s">
        <v>587</v>
      </c>
    </row>
    <row r="749" spans="16:16" x14ac:dyDescent="0.25">
      <c r="P749" s="6" t="s">
        <v>588</v>
      </c>
    </row>
    <row r="750" spans="16:16" x14ac:dyDescent="0.25">
      <c r="P750" s="6" t="s">
        <v>589</v>
      </c>
    </row>
    <row r="751" spans="16:16" x14ac:dyDescent="0.25">
      <c r="P751" s="6" t="s">
        <v>590</v>
      </c>
    </row>
    <row r="752" spans="16:16" x14ac:dyDescent="0.25">
      <c r="P752" s="6" t="s">
        <v>591</v>
      </c>
    </row>
    <row r="753" spans="16:16" x14ac:dyDescent="0.25">
      <c r="P753" s="6" t="s">
        <v>592</v>
      </c>
    </row>
    <row r="754" spans="16:16" x14ac:dyDescent="0.25">
      <c r="P754" s="6" t="s">
        <v>593</v>
      </c>
    </row>
    <row r="755" spans="16:16" x14ac:dyDescent="0.25">
      <c r="P755" s="6" t="s">
        <v>594</v>
      </c>
    </row>
    <row r="756" spans="16:16" x14ac:dyDescent="0.25">
      <c r="P756" s="6" t="s">
        <v>595</v>
      </c>
    </row>
    <row r="757" spans="16:16" x14ac:dyDescent="0.25">
      <c r="P757" s="6" t="s">
        <v>596</v>
      </c>
    </row>
    <row r="758" spans="16:16" x14ac:dyDescent="0.25">
      <c r="P758" s="6" t="s">
        <v>597</v>
      </c>
    </row>
    <row r="759" spans="16:16" x14ac:dyDescent="0.25">
      <c r="P759" s="6" t="s">
        <v>599</v>
      </c>
    </row>
    <row r="760" spans="16:16" x14ac:dyDescent="0.25">
      <c r="P760" s="6" t="s">
        <v>600</v>
      </c>
    </row>
    <row r="761" spans="16:16" x14ac:dyDescent="0.25">
      <c r="P761" s="6" t="s">
        <v>601</v>
      </c>
    </row>
    <row r="762" spans="16:16" x14ac:dyDescent="0.25">
      <c r="P762" s="6" t="s">
        <v>602</v>
      </c>
    </row>
    <row r="763" spans="16:16" x14ac:dyDescent="0.25">
      <c r="P763" s="6" t="s">
        <v>603</v>
      </c>
    </row>
    <row r="764" spans="16:16" x14ac:dyDescent="0.25">
      <c r="P764" s="6" t="s">
        <v>604</v>
      </c>
    </row>
    <row r="765" spans="16:16" x14ac:dyDescent="0.25">
      <c r="P765" s="6" t="s">
        <v>605</v>
      </c>
    </row>
    <row r="766" spans="16:16" x14ac:dyDescent="0.25">
      <c r="P766" s="6" t="s">
        <v>606</v>
      </c>
    </row>
    <row r="767" spans="16:16" x14ac:dyDescent="0.25">
      <c r="P767" s="6" t="s">
        <v>607</v>
      </c>
    </row>
    <row r="768" spans="16:16" x14ac:dyDescent="0.25">
      <c r="P768" s="6" t="s">
        <v>608</v>
      </c>
    </row>
    <row r="769" spans="16:16" x14ac:dyDescent="0.25">
      <c r="P769" s="6" t="s">
        <v>609</v>
      </c>
    </row>
    <row r="770" spans="16:16" x14ac:dyDescent="0.25">
      <c r="P770" s="6" t="s">
        <v>610</v>
      </c>
    </row>
    <row r="771" spans="16:16" x14ac:dyDescent="0.25">
      <c r="P771" s="6" t="s">
        <v>611</v>
      </c>
    </row>
    <row r="772" spans="16:16" x14ac:dyDescent="0.25">
      <c r="P772" s="6" t="s">
        <v>612</v>
      </c>
    </row>
    <row r="773" spans="16:16" x14ac:dyDescent="0.25">
      <c r="P773" s="6" t="s">
        <v>613</v>
      </c>
    </row>
    <row r="774" spans="16:16" x14ac:dyDescent="0.25">
      <c r="P774" s="6" t="s">
        <v>614</v>
      </c>
    </row>
    <row r="775" spans="16:16" x14ac:dyDescent="0.25">
      <c r="P775" s="6" t="s">
        <v>615</v>
      </c>
    </row>
    <row r="776" spans="16:16" x14ac:dyDescent="0.25">
      <c r="P776" s="6" t="s">
        <v>616</v>
      </c>
    </row>
    <row r="777" spans="16:16" x14ac:dyDescent="0.25">
      <c r="P777" s="6" t="s">
        <v>617</v>
      </c>
    </row>
    <row r="778" spans="16:16" x14ac:dyDescent="0.25">
      <c r="P778" s="6" t="s">
        <v>618</v>
      </c>
    </row>
    <row r="779" spans="16:16" x14ac:dyDescent="0.25">
      <c r="P779" s="6" t="s">
        <v>619</v>
      </c>
    </row>
    <row r="780" spans="16:16" x14ac:dyDescent="0.25">
      <c r="P780" s="6" t="s">
        <v>620</v>
      </c>
    </row>
    <row r="781" spans="16:16" x14ac:dyDescent="0.25">
      <c r="P781" s="6" t="s">
        <v>621</v>
      </c>
    </row>
    <row r="782" spans="16:16" x14ac:dyDescent="0.25">
      <c r="P782" s="6" t="s">
        <v>622</v>
      </c>
    </row>
    <row r="783" spans="16:16" x14ac:dyDescent="0.25">
      <c r="P783" s="6" t="s">
        <v>623</v>
      </c>
    </row>
    <row r="784" spans="16:16" x14ac:dyDescent="0.25">
      <c r="P784" s="6" t="s">
        <v>624</v>
      </c>
    </row>
    <row r="785" spans="16:16" x14ac:dyDescent="0.25">
      <c r="P785" s="6" t="s">
        <v>625</v>
      </c>
    </row>
    <row r="786" spans="16:16" x14ac:dyDescent="0.25">
      <c r="P786" s="6" t="s">
        <v>626</v>
      </c>
    </row>
    <row r="787" spans="16:16" x14ac:dyDescent="0.25">
      <c r="P787" s="6" t="s">
        <v>627</v>
      </c>
    </row>
    <row r="788" spans="16:16" x14ac:dyDescent="0.25">
      <c r="P788" s="6" t="s">
        <v>628</v>
      </c>
    </row>
  </sheetData>
  <mergeCells count="5">
    <mergeCell ref="A1:H1"/>
    <mergeCell ref="N1:O1"/>
    <mergeCell ref="I1:M1"/>
    <mergeCell ref="Q1:W1"/>
    <mergeCell ref="P1:P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42"/>
  <sheetViews>
    <sheetView topLeftCell="A67" zoomScaleNormal="100" workbookViewId="0">
      <selection activeCell="T14" sqref="T14"/>
    </sheetView>
  </sheetViews>
  <sheetFormatPr defaultRowHeight="15" x14ac:dyDescent="0.25"/>
  <cols>
    <col min="16" max="16" width="18.625" bestFit="1" customWidth="1"/>
  </cols>
  <sheetData>
    <row r="1" spans="2:16" ht="15" customHeight="1" x14ac:dyDescent="0.25">
      <c r="B1" s="15" t="s">
        <v>800</v>
      </c>
      <c r="C1" s="15" t="s">
        <v>801</v>
      </c>
      <c r="D1" s="15" t="s">
        <v>802</v>
      </c>
      <c r="E1" s="15" t="s">
        <v>803</v>
      </c>
      <c r="F1" s="15" t="s">
        <v>804</v>
      </c>
      <c r="G1" s="15" t="s">
        <v>805</v>
      </c>
      <c r="H1" s="15" t="s">
        <v>806</v>
      </c>
      <c r="I1" s="15" t="s">
        <v>807</v>
      </c>
      <c r="J1" s="15" t="s">
        <v>795</v>
      </c>
      <c r="K1" s="15" t="s">
        <v>796</v>
      </c>
      <c r="L1" s="15" t="s">
        <v>797</v>
      </c>
      <c r="M1" s="15" t="s">
        <v>798</v>
      </c>
      <c r="N1" s="15" t="s">
        <v>799</v>
      </c>
      <c r="O1" s="15" t="s">
        <v>808</v>
      </c>
      <c r="P1" s="16" t="s">
        <v>809</v>
      </c>
    </row>
    <row r="2" spans="2:16" x14ac:dyDescent="0.25">
      <c r="B2" s="4" t="str">
        <f>IF(COUNTIF('outliers per techniques &amp; human'!A$3:A$28,'outliers per techniques &amp; human'!$V3),'outliers per techniques &amp; human'!$V3,"")</f>
        <v/>
      </c>
      <c r="C2" t="str">
        <f>IF(COUNTIF('outliers per techniques &amp; human'!B$3:B$28,'outliers per techniques &amp; human'!V3),'outliers per techniques &amp; human'!V3,"")</f>
        <v/>
      </c>
      <c r="D2" t="str">
        <f>IF(COUNTIF('outliers per techniques &amp; human'!C$3:C$38,'outliers per techniques &amp; human'!V3),'outliers per techniques &amp; human'!V3,"")</f>
        <v/>
      </c>
      <c r="E2" t="str">
        <f>IF(COUNTIF('outliers per techniques &amp; human'!D$3:D$38,'outliers per techniques &amp; human'!V3),'outliers per techniques &amp; human'!V3,"")</f>
        <v/>
      </c>
      <c r="F2" t="str">
        <f>IF(COUNTIF('outliers per techniques &amp; human'!E$3:E$24,'outliers per techniques &amp; human'!V3),'outliers per techniques &amp; human'!V3,"")</f>
        <v/>
      </c>
      <c r="G2" t="str">
        <f>IF(COUNTIF('outliers per techniques &amp; human'!F$3:F$24,'outliers per techniques &amp; human'!V3),'outliers per techniques &amp; human'!V3,"")</f>
        <v/>
      </c>
      <c r="H2" t="str">
        <f>IF(COUNTIF('outliers per techniques &amp; human'!G$3:G$42,'outliers per techniques &amp; human'!V3),'outliers per techniques &amp; human'!V3,"")</f>
        <v/>
      </c>
      <c r="I2" t="str">
        <f>IF(COUNTIF('outliers per techniques &amp; human'!H$3:H$42,'outliers per techniques &amp; human'!V3),'outliers per techniques &amp; human'!V3,"")</f>
        <v/>
      </c>
      <c r="J2" t="str">
        <f>IF(COUNTIF('outliers per techniques &amp; human'!I$3:I$21,'outliers per techniques &amp; human'!V3),'outliers per techniques &amp; human'!V3,"")</f>
        <v/>
      </c>
      <c r="K2" t="str">
        <f>IF(COUNTIF('outliers per techniques &amp; human'!J$3:J$47,'outliers per techniques &amp; human'!V3),'outliers per techniques &amp; human'!V3,"")</f>
        <v/>
      </c>
      <c r="L2" t="str">
        <f>IF(COUNTIF('outliers per techniques &amp; human'!K$3:K$78,'outliers per techniques &amp; human'!V3),'outliers per techniques &amp; human'!V3,"")</f>
        <v>ht09</v>
      </c>
      <c r="M2" t="str">
        <f>IF(COUNTIF('outliers per techniques &amp; human'!L$3:L$17,'outliers per techniques &amp; human'!V3),'outliers per techniques &amp; human'!V3,"")</f>
        <v/>
      </c>
      <c r="N2" t="str">
        <f>IF(COUNTIF('outliers per techniques &amp; human'!M$3:M$200,'outliers per techniques &amp; human'!V3),'outliers per techniques &amp; human'!V3,"")</f>
        <v/>
      </c>
      <c r="O2" t="str">
        <f>IF(COUNTIF('outliers per techniques &amp; human'!N$3:N$25,'outliers per techniques &amp; human'!V3),'outliers per techniques &amp; human'!V3,"")</f>
        <v/>
      </c>
      <c r="P2" t="str">
        <f>IF(COUNTIF('outliers per techniques &amp; human'!O$3:O$368,'outliers per techniques &amp; human'!V3),'outliers per techniques &amp; human'!V3,"")</f>
        <v/>
      </c>
    </row>
    <row r="3" spans="2:16" x14ac:dyDescent="0.25">
      <c r="B3" s="4" t="str">
        <f>IF(COUNTIF('outliers per techniques &amp; human'!A$3:A$28,'outliers per techniques &amp; human'!$V4),'outliers per techniques &amp; human'!$V4,"")</f>
        <v/>
      </c>
      <c r="C3" t="str">
        <f>IF(COUNTIF('outliers per techniques &amp; human'!B$3:B$28,'outliers per techniques &amp; human'!V4),'outliers per techniques &amp; human'!V4,"")</f>
        <v/>
      </c>
      <c r="D3" t="str">
        <f>IF(COUNTIF('outliers per techniques &amp; human'!C$3:C$38,'outliers per techniques &amp; human'!V4),'outliers per techniques &amp; human'!V4,"")</f>
        <v/>
      </c>
      <c r="E3" t="str">
        <f>IF(COUNTIF('outliers per techniques &amp; human'!D$3:D$38,'outliers per techniques &amp; human'!V4),'outliers per techniques &amp; human'!V4,"")</f>
        <v/>
      </c>
      <c r="F3" t="str">
        <f>IF(COUNTIF('outliers per techniques &amp; human'!E$3:E$24,'outliers per techniques &amp; human'!V4),'outliers per techniques &amp; human'!V4,"")</f>
        <v/>
      </c>
      <c r="G3" t="str">
        <f>IF(COUNTIF('outliers per techniques &amp; human'!F$3:F$24,'outliers per techniques &amp; human'!V4),'outliers per techniques &amp; human'!V4,"")</f>
        <v/>
      </c>
      <c r="H3" t="str">
        <f>IF(COUNTIF('outliers per techniques &amp; human'!G$3:G$42,'outliers per techniques &amp; human'!V4),'outliers per techniques &amp; human'!V4,"")</f>
        <v/>
      </c>
      <c r="I3" t="str">
        <f>IF(COUNTIF('outliers per techniques &amp; human'!H$3:H$42,'outliers per techniques &amp; human'!V4),'outliers per techniques &amp; human'!V4,"")</f>
        <v/>
      </c>
      <c r="J3" t="str">
        <f>IF(COUNTIF('outliers per techniques &amp; human'!I$3:I$21,'outliers per techniques &amp; human'!V4),'outliers per techniques &amp; human'!V4,"")</f>
        <v/>
      </c>
      <c r="K3" t="str">
        <f>IF(COUNTIF('outliers per techniques &amp; human'!J$3:J$47,'outliers per techniques &amp; human'!V4),'outliers per techniques &amp; human'!V4,"")</f>
        <v/>
      </c>
      <c r="L3" t="str">
        <f>IF(COUNTIF('outliers per techniques &amp; human'!K$3:K$78,'outliers per techniques &amp; human'!V4),'outliers per techniques &amp; human'!V4,"")</f>
        <v/>
      </c>
      <c r="M3" t="str">
        <f>IF(COUNTIF('outliers per techniques &amp; human'!L$3:L$17,'outliers per techniques &amp; human'!V4),'outliers per techniques &amp; human'!V4,"")</f>
        <v/>
      </c>
      <c r="N3" t="str">
        <f>IF(COUNTIF('outliers per techniques &amp; human'!M$3:M$200,'outliers per techniques &amp; human'!V4),'outliers per techniques &amp; human'!V4,"")</f>
        <v/>
      </c>
      <c r="O3" t="str">
        <f>IF(COUNTIF('outliers per techniques &amp; human'!N$3:N$25,'outliers per techniques &amp; human'!V4),'outliers per techniques &amp; human'!V4,"")</f>
        <v/>
      </c>
      <c r="P3" t="str">
        <f>IF(COUNTIF('outliers per techniques &amp; human'!O$3:O$368,'outliers per techniques &amp; human'!V4),'outliers per techniques &amp; human'!V4,"")</f>
        <v>w</v>
      </c>
    </row>
    <row r="4" spans="2:16" x14ac:dyDescent="0.25">
      <c r="B4" s="4" t="str">
        <f>IF(COUNTIF('outliers per techniques &amp; human'!A$3:A$28,'outliers per techniques &amp; human'!$V5),'outliers per techniques &amp; human'!$V5,"")</f>
        <v/>
      </c>
      <c r="C4" t="str">
        <f>IF(COUNTIF('outliers per techniques &amp; human'!B$3:B$28,'outliers per techniques &amp; human'!V5),'outliers per techniques &amp; human'!V5,"")</f>
        <v/>
      </c>
      <c r="D4" t="str">
        <f>IF(COUNTIF('outliers per techniques &amp; human'!C$3:C$38,'outliers per techniques &amp; human'!V5),'outliers per techniques &amp; human'!V5,"")</f>
        <v/>
      </c>
      <c r="E4" t="str">
        <f>IF(COUNTIF('outliers per techniques &amp; human'!D$3:D$38,'outliers per techniques &amp; human'!V5),'outliers per techniques &amp; human'!V5,"")</f>
        <v/>
      </c>
      <c r="F4" t="str">
        <f>IF(COUNTIF('outliers per techniques &amp; human'!E$3:E$24,'outliers per techniques &amp; human'!V5),'outliers per techniques &amp; human'!V5,"")</f>
        <v/>
      </c>
      <c r="G4" t="str">
        <f>IF(COUNTIF('outliers per techniques &amp; human'!F$3:F$24,'outliers per techniques &amp; human'!V5),'outliers per techniques &amp; human'!V5,"")</f>
        <v/>
      </c>
      <c r="H4" t="str">
        <f>IF(COUNTIF('outliers per techniques &amp; human'!G$3:G$42,'outliers per techniques &amp; human'!V5),'outliers per techniques &amp; human'!V5,"")</f>
        <v/>
      </c>
      <c r="I4" t="str">
        <f>IF(COUNTIF('outliers per techniques &amp; human'!H$3:H$42,'outliers per techniques &amp; human'!V5),'outliers per techniques &amp; human'!V5,"")</f>
        <v/>
      </c>
      <c r="J4" t="str">
        <f>IF(COUNTIF('outliers per techniques &amp; human'!I$3:I$21,'outliers per techniques &amp; human'!V5),'outliers per techniques &amp; human'!V5,"")</f>
        <v/>
      </c>
      <c r="K4" t="str">
        <f>IF(COUNTIF('outliers per techniques &amp; human'!J$3:J$47,'outliers per techniques &amp; human'!V5),'outliers per techniques &amp; human'!V5,"")</f>
        <v/>
      </c>
      <c r="L4" t="str">
        <f>IF(COUNTIF('outliers per techniques &amp; human'!K$3:K$78,'outliers per techniques &amp; human'!V5),'outliers per techniques &amp; human'!V5,"")</f>
        <v/>
      </c>
      <c r="M4" t="str">
        <f>IF(COUNTIF('outliers per techniques &amp; human'!L$3:L$17,'outliers per techniques &amp; human'!V5),'outliers per techniques &amp; human'!V5,"")</f>
        <v/>
      </c>
      <c r="N4" t="str">
        <f>IF(COUNTIF('outliers per techniques &amp; human'!M$3:M$200,'outliers per techniques &amp; human'!V5),'outliers per techniques &amp; human'!V5,"")</f>
        <v>mnemonik</v>
      </c>
      <c r="O4" t="str">
        <f>IF(COUNTIF('outliers per techniques &amp; human'!N$3:N$25,'outliers per techniques &amp; human'!V5),'outliers per techniques &amp; human'!V5,"")</f>
        <v/>
      </c>
      <c r="P4" t="str">
        <f>IF(COUNTIF('outliers per techniques &amp; human'!O$3:O$368,'outliers per techniques &amp; human'!V5),'outliers per techniques &amp; human'!V5,"")</f>
        <v/>
      </c>
    </row>
    <row r="5" spans="2:16" x14ac:dyDescent="0.25">
      <c r="B5" s="4" t="str">
        <f>IF(COUNTIF('outliers per techniques &amp; human'!A$3:A$28,'outliers per techniques &amp; human'!$V6),'outliers per techniques &amp; human'!$V6,"")</f>
        <v/>
      </c>
      <c r="C5" t="str">
        <f>IF(COUNTIF('outliers per techniques &amp; human'!B$3:B$28,'outliers per techniques &amp; human'!V6),'outliers per techniques &amp; human'!V6,"")</f>
        <v/>
      </c>
      <c r="D5" t="str">
        <f>IF(COUNTIF('outliers per techniques &amp; human'!C$3:C$38,'outliers per techniques &amp; human'!V6),'outliers per techniques &amp; human'!V6,"")</f>
        <v/>
      </c>
      <c r="E5" t="str">
        <f>IF(COUNTIF('outliers per techniques &amp; human'!D$3:D$38,'outliers per techniques &amp; human'!V6),'outliers per techniques &amp; human'!V6,"")</f>
        <v/>
      </c>
      <c r="F5" t="str">
        <f>IF(COUNTIF('outliers per techniques &amp; human'!E$3:E$24,'outliers per techniques &amp; human'!V6),'outliers per techniques &amp; human'!V6,"")</f>
        <v/>
      </c>
      <c r="G5" t="str">
        <f>IF(COUNTIF('outliers per techniques &amp; human'!F$3:F$24,'outliers per techniques &amp; human'!V6),'outliers per techniques &amp; human'!V6,"")</f>
        <v/>
      </c>
      <c r="H5" t="str">
        <f>IF(COUNTIF('outliers per techniques &amp; human'!G$3:G$42,'outliers per techniques &amp; human'!V6),'outliers per techniques &amp; human'!V6,"")</f>
        <v/>
      </c>
      <c r="I5" t="str">
        <f>IF(COUNTIF('outliers per techniques &amp; human'!H$3:H$42,'outliers per techniques &amp; human'!V6),'outliers per techniques &amp; human'!V6,"")</f>
        <v/>
      </c>
      <c r="J5" t="str">
        <f>IF(COUNTIF('outliers per techniques &amp; human'!I$3:I$21,'outliers per techniques &amp; human'!V6),'outliers per techniques &amp; human'!V6,"")</f>
        <v/>
      </c>
      <c r="K5" t="str">
        <f>IF(COUNTIF('outliers per techniques &amp; human'!J$3:J$47,'outliers per techniques &amp; human'!V6),'outliers per techniques &amp; human'!V6,"")</f>
        <v/>
      </c>
      <c r="L5" t="str">
        <f>IF(COUNTIF('outliers per techniques &amp; human'!K$3:K$78,'outliers per techniques &amp; human'!V6),'outliers per techniques &amp; human'!V6,"")</f>
        <v/>
      </c>
      <c r="M5" t="str">
        <f>IF(COUNTIF('outliers per techniques &amp; human'!L$3:L$17,'outliers per techniques &amp; human'!V6),'outliers per techniques &amp; human'!V6,"")</f>
        <v/>
      </c>
      <c r="N5" t="str">
        <f>IF(COUNTIF('outliers per techniques &amp; human'!M$3:M$200,'outliers per techniques &amp; human'!V6),'outliers per techniques &amp; human'!V6,"")</f>
        <v/>
      </c>
      <c r="O5" t="str">
        <f>IF(COUNTIF('outliers per techniques &amp; human'!N$3:N$25,'outliers per techniques &amp; human'!V6),'outliers per techniques &amp; human'!V6,"")</f>
        <v/>
      </c>
      <c r="P5" t="str">
        <f>IF(COUNTIF('outliers per techniques &amp; human'!O$3:O$368,'outliers per techniques &amp; human'!V6),'outliers per techniques &amp; human'!V6,"")</f>
        <v>gott</v>
      </c>
    </row>
    <row r="6" spans="2:16" x14ac:dyDescent="0.25">
      <c r="B6" s="4" t="str">
        <f>IF(COUNTIF('outliers per techniques &amp; human'!A$3:A$28,'outliers per techniques &amp; human'!$V7),'outliers per techniques &amp; human'!$V7,"")</f>
        <v/>
      </c>
      <c r="C6" t="str">
        <f>IF(COUNTIF('outliers per techniques &amp; human'!B$3:B$28,'outliers per techniques &amp; human'!V7),'outliers per techniques &amp; human'!V7,"")</f>
        <v/>
      </c>
      <c r="D6" t="str">
        <f>IF(COUNTIF('outliers per techniques &amp; human'!C$3:C$38,'outliers per techniques &amp; human'!V7),'outliers per techniques &amp; human'!V7,"")</f>
        <v/>
      </c>
      <c r="E6" t="str">
        <f>IF(COUNTIF('outliers per techniques &amp; human'!D$3:D$38,'outliers per techniques &amp; human'!V7),'outliers per techniques &amp; human'!V7,"")</f>
        <v/>
      </c>
      <c r="F6" t="str">
        <f>IF(COUNTIF('outliers per techniques &amp; human'!E$3:E$24,'outliers per techniques &amp; human'!V7),'outliers per techniques &amp; human'!V7,"")</f>
        <v/>
      </c>
      <c r="G6" t="str">
        <f>IF(COUNTIF('outliers per techniques &amp; human'!F$3:F$24,'outliers per techniques &amp; human'!V7),'outliers per techniques &amp; human'!V7,"")</f>
        <v/>
      </c>
      <c r="H6" t="str">
        <f>IF(COUNTIF('outliers per techniques &amp; human'!G$3:G$42,'outliers per techniques &amp; human'!V7),'outliers per techniques &amp; human'!V7,"")</f>
        <v/>
      </c>
      <c r="I6" t="str">
        <f>IF(COUNTIF('outliers per techniques &amp; human'!H$3:H$42,'outliers per techniques &amp; human'!V7),'outliers per techniques &amp; human'!V7,"")</f>
        <v/>
      </c>
      <c r="J6" t="str">
        <f>IF(COUNTIF('outliers per techniques &amp; human'!I$3:I$21,'outliers per techniques &amp; human'!V7),'outliers per techniques &amp; human'!V7,"")</f>
        <v/>
      </c>
      <c r="K6" t="str">
        <f>IF(COUNTIF('outliers per techniques &amp; human'!J$3:J$47,'outliers per techniques &amp; human'!V7),'outliers per techniques &amp; human'!V7,"")</f>
        <v/>
      </c>
      <c r="L6" t="str">
        <f>IF(COUNTIF('outliers per techniques &amp; human'!K$3:K$78,'outliers per techniques &amp; human'!V7),'outliers per techniques &amp; human'!V7,"")</f>
        <v/>
      </c>
      <c r="M6" t="str">
        <f>IF(COUNTIF('outliers per techniques &amp; human'!L$3:L$17,'outliers per techniques &amp; human'!V7),'outliers per techniques &amp; human'!V7,"")</f>
        <v/>
      </c>
      <c r="N6" t="str">
        <f>IF(COUNTIF('outliers per techniques &amp; human'!M$3:M$200,'outliers per techniques &amp; human'!V7),'outliers per techniques &amp; human'!V7,"")</f>
        <v>informetrie</v>
      </c>
      <c r="O6" t="str">
        <f>IF(COUNTIF('outliers per techniques &amp; human'!N$3:N$25,'outliers per techniques &amp; human'!V7),'outliers per techniques &amp; human'!V7,"")</f>
        <v/>
      </c>
      <c r="P6" t="str">
        <f>IF(COUNTIF('outliers per techniques &amp; human'!O$3:O$368,'outliers per techniques &amp; human'!V7),'outliers per techniques &amp; human'!V7,"")</f>
        <v/>
      </c>
    </row>
    <row r="7" spans="2:16" x14ac:dyDescent="0.25">
      <c r="B7" s="4" t="str">
        <f>IF(COUNTIF('outliers per techniques &amp; human'!A$3:A$28,'outliers per techniques &amp; human'!$V8),'outliers per techniques &amp; human'!$V8,"")</f>
        <v/>
      </c>
      <c r="C7" t="str">
        <f>IF(COUNTIF('outliers per techniques &amp; human'!B$3:B$28,'outliers per techniques &amp; human'!V8),'outliers per techniques &amp; human'!V8,"")</f>
        <v/>
      </c>
      <c r="D7" t="str">
        <f>IF(COUNTIF('outliers per techniques &amp; human'!C$3:C$38,'outliers per techniques &amp; human'!V8),'outliers per techniques &amp; human'!V8,"")</f>
        <v/>
      </c>
      <c r="E7" t="str">
        <f>IF(COUNTIF('outliers per techniques &amp; human'!D$3:D$38,'outliers per techniques &amp; human'!V8),'outliers per techniques &amp; human'!V8,"")</f>
        <v/>
      </c>
      <c r="F7" t="str">
        <f>IF(COUNTIF('outliers per techniques &amp; human'!E$3:E$24,'outliers per techniques &amp; human'!V8),'outliers per techniques &amp; human'!V8,"")</f>
        <v/>
      </c>
      <c r="G7" t="str">
        <f>IF(COUNTIF('outliers per techniques &amp; human'!F$3:F$24,'outliers per techniques &amp; human'!V8),'outliers per techniques &amp; human'!V8,"")</f>
        <v/>
      </c>
      <c r="H7" t="str">
        <f>IF(COUNTIF('outliers per techniques &amp; human'!G$3:G$42,'outliers per techniques &amp; human'!V8),'outliers per techniques &amp; human'!V8,"")</f>
        <v/>
      </c>
      <c r="I7" t="str">
        <f>IF(COUNTIF('outliers per techniques &amp; human'!H$3:H$42,'outliers per techniques &amp; human'!V8),'outliers per techniques &amp; human'!V8,"")</f>
        <v/>
      </c>
      <c r="J7" t="str">
        <f>IF(COUNTIF('outliers per techniques &amp; human'!I$3:I$21,'outliers per techniques &amp; human'!V8),'outliers per techniques &amp; human'!V8,"")</f>
        <v/>
      </c>
      <c r="K7" t="str">
        <f>IF(COUNTIF('outliers per techniques &amp; human'!J$3:J$47,'outliers per techniques &amp; human'!V8),'outliers per techniques &amp; human'!V8,"")</f>
        <v/>
      </c>
      <c r="L7" t="str">
        <f>IF(COUNTIF('outliers per techniques &amp; human'!K$3:K$78,'outliers per techniques &amp; human'!V8),'outliers per techniques &amp; human'!V8,"")</f>
        <v/>
      </c>
      <c r="M7" t="str">
        <f>IF(COUNTIF('outliers per techniques &amp; human'!L$3:L$17,'outliers per techniques &amp; human'!V8),'outliers per techniques &amp; human'!V8,"")</f>
        <v/>
      </c>
      <c r="N7" t="str">
        <f>IF(COUNTIF('outliers per techniques &amp; human'!M$3:M$200,'outliers per techniques &amp; human'!V8),'outliers per techniques &amp; human'!V8,"")</f>
        <v/>
      </c>
      <c r="O7" t="str">
        <f>IF(COUNTIF('outliers per techniques &amp; human'!N$3:N$25,'outliers per techniques &amp; human'!V8),'outliers per techniques &amp; human'!V8,"")</f>
        <v/>
      </c>
      <c r="P7" t="str">
        <f>IF(COUNTIF('outliers per techniques &amp; human'!O$3:O$368,'outliers per techniques &amp; human'!V8),'outliers per techniques &amp; human'!V8,"")</f>
        <v>kohonen</v>
      </c>
    </row>
    <row r="8" spans="2:16" x14ac:dyDescent="0.25">
      <c r="B8" s="4" t="str">
        <f>IF(COUNTIF('outliers per techniques &amp; human'!A$3:A$28,'outliers per techniques &amp; human'!$V9),'outliers per techniques &amp; human'!$V9,"")</f>
        <v/>
      </c>
      <c r="C8" t="str">
        <f>IF(COUNTIF('outliers per techniques &amp; human'!B$3:B$28,'outliers per techniques &amp; human'!V9),'outliers per techniques &amp; human'!V9,"")</f>
        <v/>
      </c>
      <c r="D8" t="str">
        <f>IF(COUNTIF('outliers per techniques &amp; human'!C$3:C$38,'outliers per techniques &amp; human'!V9),'outliers per techniques &amp; human'!V9,"")</f>
        <v/>
      </c>
      <c r="E8" t="str">
        <f>IF(COUNTIF('outliers per techniques &amp; human'!D$3:D$38,'outliers per techniques &amp; human'!V9),'outliers per techniques &amp; human'!V9,"")</f>
        <v/>
      </c>
      <c r="F8" t="str">
        <f>IF(COUNTIF('outliers per techniques &amp; human'!E$3:E$24,'outliers per techniques &amp; human'!V9),'outliers per techniques &amp; human'!V9,"")</f>
        <v/>
      </c>
      <c r="G8" t="str">
        <f>IF(COUNTIF('outliers per techniques &amp; human'!F$3:F$24,'outliers per techniques &amp; human'!V9),'outliers per techniques &amp; human'!V9,"")</f>
        <v/>
      </c>
      <c r="H8" t="str">
        <f>IF(COUNTIF('outliers per techniques &amp; human'!G$3:G$42,'outliers per techniques &amp; human'!V9),'outliers per techniques &amp; human'!V9,"")</f>
        <v/>
      </c>
      <c r="I8" t="str">
        <f>IF(COUNTIF('outliers per techniques &amp; human'!H$3:H$42,'outliers per techniques &amp; human'!V9),'outliers per techniques &amp; human'!V9,"")</f>
        <v/>
      </c>
      <c r="J8" t="str">
        <f>IF(COUNTIF('outliers per techniques &amp; human'!I$3:I$21,'outliers per techniques &amp; human'!V9),'outliers per techniques &amp; human'!V9,"")</f>
        <v/>
      </c>
      <c r="K8" t="str">
        <f>IF(COUNTIF('outliers per techniques &amp; human'!J$3:J$47,'outliers per techniques &amp; human'!V9),'outliers per techniques &amp; human'!V9,"")</f>
        <v/>
      </c>
      <c r="L8" t="str">
        <f>IF(COUNTIF('outliers per techniques &amp; human'!K$3:K$78,'outliers per techniques &amp; human'!V9),'outliers per techniques &amp; human'!V9,"")</f>
        <v/>
      </c>
      <c r="M8" t="str">
        <f>IF(COUNTIF('outliers per techniques &amp; human'!L$3:L$17,'outliers per techniques &amp; human'!V9),'outliers per techniques &amp; human'!V9,"")</f>
        <v/>
      </c>
      <c r="N8" t="str">
        <f>IF(COUNTIF('outliers per techniques &amp; human'!M$3:M$200,'outliers per techniques &amp; human'!V9),'outliers per techniques &amp; human'!V9,"")</f>
        <v/>
      </c>
      <c r="O8" t="str">
        <f>IF(COUNTIF('outliers per techniques &amp; human'!N$3:N$25,'outliers per techniques &amp; human'!V9),'outliers per techniques &amp; human'!V9,"")</f>
        <v/>
      </c>
      <c r="P8" t="str">
        <f>IF(COUNTIF('outliers per techniques &amp; human'!O$3:O$368,'outliers per techniques &amp; human'!V9),'outliers per techniques &amp; human'!V9,"")</f>
        <v>cattuto</v>
      </c>
    </row>
    <row r="9" spans="2:16" x14ac:dyDescent="0.25">
      <c r="B9" s="4" t="str">
        <f>IF(COUNTIF('outliers per techniques &amp; human'!A$3:A$28,'outliers per techniques &amp; human'!$V10),'outliers per techniques &amp; human'!$V10,"")</f>
        <v/>
      </c>
      <c r="C9" t="str">
        <f>IF(COUNTIF('outliers per techniques &amp; human'!B$3:B$28,'outliers per techniques &amp; human'!V10),'outliers per techniques &amp; human'!V10,"")</f>
        <v/>
      </c>
      <c r="D9" t="str">
        <f>IF(COUNTIF('outliers per techniques &amp; human'!C$3:C$38,'outliers per techniques &amp; human'!V10),'outliers per techniques &amp; human'!V10,"")</f>
        <v/>
      </c>
      <c r="E9" t="str">
        <f>IF(COUNTIF('outliers per techniques &amp; human'!D$3:D$38,'outliers per techniques &amp; human'!V10),'outliers per techniques &amp; human'!V10,"")</f>
        <v/>
      </c>
      <c r="F9" t="str">
        <f>IF(COUNTIF('outliers per techniques &amp; human'!E$3:E$24,'outliers per techniques &amp; human'!V10),'outliers per techniques &amp; human'!V10,"")</f>
        <v/>
      </c>
      <c r="G9" t="str">
        <f>IF(COUNTIF('outliers per techniques &amp; human'!F$3:F$24,'outliers per techniques &amp; human'!V10),'outliers per techniques &amp; human'!V10,"")</f>
        <v/>
      </c>
      <c r="H9" t="str">
        <f>IF(COUNTIF('outliers per techniques &amp; human'!G$3:G$42,'outliers per techniques &amp; human'!V10),'outliers per techniques &amp; human'!V10,"")</f>
        <v/>
      </c>
      <c r="I9" t="str">
        <f>IF(COUNTIF('outliers per techniques &amp; human'!H$3:H$42,'outliers per techniques &amp; human'!V10),'outliers per techniques &amp; human'!V10,"")</f>
        <v/>
      </c>
      <c r="J9" t="str">
        <f>IF(COUNTIF('outliers per techniques &amp; human'!I$3:I$21,'outliers per techniques &amp; human'!V10),'outliers per techniques &amp; human'!V10,"")</f>
        <v/>
      </c>
      <c r="K9" t="str">
        <f>IF(COUNTIF('outliers per techniques &amp; human'!J$3:J$47,'outliers per techniques &amp; human'!V10),'outliers per techniques &amp; human'!V10,"")</f>
        <v/>
      </c>
      <c r="L9" t="str">
        <f>IF(COUNTIF('outliers per techniques &amp; human'!K$3:K$78,'outliers per techniques &amp; human'!V10),'outliers per techniques &amp; human'!V10,"")</f>
        <v/>
      </c>
      <c r="M9" t="str">
        <f>IF(COUNTIF('outliers per techniques &amp; human'!L$3:L$17,'outliers per techniques &amp; human'!V10),'outliers per techniques &amp; human'!V10,"")</f>
        <v/>
      </c>
      <c r="N9" t="str">
        <f>IF(COUNTIF('outliers per techniques &amp; human'!M$3:M$200,'outliers per techniques &amp; human'!V10),'outliers per techniques &amp; human'!V10,"")</f>
        <v/>
      </c>
      <c r="O9" t="str">
        <f>IF(COUNTIF('outliers per techniques &amp; human'!N$3:N$25,'outliers per techniques &amp; human'!V10),'outliers per techniques &amp; human'!V10,"")</f>
        <v>infowiss</v>
      </c>
      <c r="P9" t="str">
        <f>IF(COUNTIF('outliers per techniques &amp; human'!O$3:O$368,'outliers per techniques &amp; human'!V10),'outliers per techniques &amp; human'!V10,"")</f>
        <v/>
      </c>
    </row>
    <row r="10" spans="2:16" x14ac:dyDescent="0.25">
      <c r="B10" s="4" t="str">
        <f>IF(COUNTIF('outliers per techniques &amp; human'!A$3:A$28,'outliers per techniques &amp; human'!$V11),'outliers per techniques &amp; human'!$V11,"")</f>
        <v/>
      </c>
      <c r="C10" t="str">
        <f>IF(COUNTIF('outliers per techniques &amp; human'!B$3:B$28,'outliers per techniques &amp; human'!V11),'outliers per techniques &amp; human'!V11,"")</f>
        <v/>
      </c>
      <c r="D10" t="str">
        <f>IF(COUNTIF('outliers per techniques &amp; human'!C$3:C$38,'outliers per techniques &amp; human'!V11),'outliers per techniques &amp; human'!V11,"")</f>
        <v/>
      </c>
      <c r="E10" t="str">
        <f>IF(COUNTIF('outliers per techniques &amp; human'!D$3:D$38,'outliers per techniques &amp; human'!V11),'outliers per techniques &amp; human'!V11,"")</f>
        <v/>
      </c>
      <c r="F10" t="str">
        <f>IF(COUNTIF('outliers per techniques &amp; human'!E$3:E$24,'outliers per techniques &amp; human'!V11),'outliers per techniques &amp; human'!V11,"")</f>
        <v/>
      </c>
      <c r="G10" t="str">
        <f>IF(COUNTIF('outliers per techniques &amp; human'!F$3:F$24,'outliers per techniques &amp; human'!V11),'outliers per techniques &amp; human'!V11,"")</f>
        <v/>
      </c>
      <c r="H10" t="str">
        <f>IF(COUNTIF('outliers per techniques &amp; human'!G$3:G$42,'outliers per techniques &amp; human'!V11),'outliers per techniques &amp; human'!V11,"")</f>
        <v/>
      </c>
      <c r="I10" t="str">
        <f>IF(COUNTIF('outliers per techniques &amp; human'!H$3:H$42,'outliers per techniques &amp; human'!V11),'outliers per techniques &amp; human'!V11,"")</f>
        <v/>
      </c>
      <c r="J10" t="str">
        <f>IF(COUNTIF('outliers per techniques &amp; human'!I$3:I$21,'outliers per techniques &amp; human'!V11),'outliers per techniques &amp; human'!V11,"")</f>
        <v/>
      </c>
      <c r="K10" t="str">
        <f>IF(COUNTIF('outliers per techniques &amp; human'!J$3:J$47,'outliers per techniques &amp; human'!V11),'outliers per techniques &amp; human'!V11,"")</f>
        <v/>
      </c>
      <c r="L10" t="str">
        <f>IF(COUNTIF('outliers per techniques &amp; human'!K$3:K$78,'outliers per techniques &amp; human'!V11),'outliers per techniques &amp; human'!V11,"")</f>
        <v/>
      </c>
      <c r="M10" t="str">
        <f>IF(COUNTIF('outliers per techniques &amp; human'!L$3:L$17,'outliers per techniques &amp; human'!V11),'outliers per techniques &amp; human'!V11,"")</f>
        <v/>
      </c>
      <c r="N10" t="str">
        <f>IF(COUNTIF('outliers per techniques &amp; human'!M$3:M$200,'outliers per techniques &amp; human'!V11),'outliers per techniques &amp; human'!V11,"")</f>
        <v/>
      </c>
      <c r="O10" t="str">
        <f>IF(COUNTIF('outliers per techniques &amp; human'!N$3:N$25,'outliers per techniques &amp; human'!V11),'outliers per techniques &amp; human'!V11,"")</f>
        <v/>
      </c>
      <c r="P10" t="str">
        <f>IF(COUNTIF('outliers per techniques &amp; human'!O$3:O$368,'outliers per techniques &amp; human'!V11),'outliers per techniques &amp; human'!V11,"")</f>
        <v>aussiedlerin</v>
      </c>
    </row>
    <row r="11" spans="2:16" x14ac:dyDescent="0.25">
      <c r="B11" s="4" t="str">
        <f>IF(COUNTIF('outliers per techniques &amp; human'!A$3:A$28,'outliers per techniques &amp; human'!$V12),'outliers per techniques &amp; human'!$V12,"")</f>
        <v/>
      </c>
      <c r="C11" t="str">
        <f>IF(COUNTIF('outliers per techniques &amp; human'!B$3:B$28,'outliers per techniques &amp; human'!V12),'outliers per techniques &amp; human'!V12,"")</f>
        <v/>
      </c>
      <c r="D11" t="str">
        <f>IF(COUNTIF('outliers per techniques &amp; human'!C$3:C$38,'outliers per techniques &amp; human'!V12),'outliers per techniques &amp; human'!V12,"")</f>
        <v/>
      </c>
      <c r="E11" t="str">
        <f>IF(COUNTIF('outliers per techniques &amp; human'!D$3:D$38,'outliers per techniques &amp; human'!V12),'outliers per techniques &amp; human'!V12,"")</f>
        <v/>
      </c>
      <c r="F11" t="str">
        <f>IF(COUNTIF('outliers per techniques &amp; human'!E$3:E$24,'outliers per techniques &amp; human'!V12),'outliers per techniques &amp; human'!V12,"")</f>
        <v/>
      </c>
      <c r="G11" t="str">
        <f>IF(COUNTIF('outliers per techniques &amp; human'!F$3:F$24,'outliers per techniques &amp; human'!V12),'outliers per techniques &amp; human'!V12,"")</f>
        <v/>
      </c>
      <c r="H11" t="str">
        <f>IF(COUNTIF('outliers per techniques &amp; human'!G$3:G$42,'outliers per techniques &amp; human'!V12),'outliers per techniques &amp; human'!V12,"")</f>
        <v/>
      </c>
      <c r="I11" t="str">
        <f>IF(COUNTIF('outliers per techniques &amp; human'!H$3:H$42,'outliers per techniques &amp; human'!V12),'outliers per techniques &amp; human'!V12,"")</f>
        <v/>
      </c>
      <c r="J11" t="str">
        <f>IF(COUNTIF('outliers per techniques &amp; human'!I$3:I$21,'outliers per techniques &amp; human'!V12),'outliers per techniques &amp; human'!V12,"")</f>
        <v/>
      </c>
      <c r="K11" t="str">
        <f>IF(COUNTIF('outliers per techniques &amp; human'!J$3:J$47,'outliers per techniques &amp; human'!V12),'outliers per techniques &amp; human'!V12,"")</f>
        <v/>
      </c>
      <c r="L11" t="str">
        <f>IF(COUNTIF('outliers per techniques &amp; human'!K$3:K$78,'outliers per techniques &amp; human'!V12),'outliers per techniques &amp; human'!V12,"")</f>
        <v/>
      </c>
      <c r="M11" t="str">
        <f>IF(COUNTIF('outliers per techniques &amp; human'!L$3:L$17,'outliers per techniques &amp; human'!V12),'outliers per techniques &amp; human'!V12,"")</f>
        <v/>
      </c>
      <c r="N11" t="str">
        <f>IF(COUNTIF('outliers per techniques &amp; human'!M$3:M$200,'outliers per techniques &amp; human'!V12),'outliers per techniques &amp; human'!V12,"")</f>
        <v/>
      </c>
      <c r="O11" t="str">
        <f>IF(COUNTIF('outliers per techniques &amp; human'!N$3:N$25,'outliers per techniques &amp; human'!V12),'outliers per techniques &amp; human'!V12,"")</f>
        <v/>
      </c>
      <c r="P11" t="str">
        <f>IF(COUNTIF('outliers per techniques &amp; human'!O$3:O$368,'outliers per techniques &amp; human'!V12),'outliers per techniques &amp; human'!V12,"")</f>
        <v>integrationsforschung</v>
      </c>
    </row>
    <row r="12" spans="2:16" x14ac:dyDescent="0.25">
      <c r="B12" s="4" t="str">
        <f>IF(COUNTIF('outliers per techniques &amp; human'!A$3:A$28,'outliers per techniques &amp; human'!$V13),'outliers per techniques &amp; human'!$V13,"")</f>
        <v/>
      </c>
      <c r="C12" t="str">
        <f>IF(COUNTIF('outliers per techniques &amp; human'!B$3:B$28,'outliers per techniques &amp; human'!V13),'outliers per techniques &amp; human'!V13,"")</f>
        <v/>
      </c>
      <c r="D12" t="str">
        <f>IF(COUNTIF('outliers per techniques &amp; human'!C$3:C$38,'outliers per techniques &amp; human'!V13),'outliers per techniques &amp; human'!V13,"")</f>
        <v/>
      </c>
      <c r="E12" t="str">
        <f>IF(COUNTIF('outliers per techniques &amp; human'!D$3:D$38,'outliers per techniques &amp; human'!V13),'outliers per techniques &amp; human'!V13,"")</f>
        <v/>
      </c>
      <c r="F12" t="str">
        <f>IF(COUNTIF('outliers per techniques &amp; human'!E$3:E$24,'outliers per techniques &amp; human'!V13),'outliers per techniques &amp; human'!V13,"")</f>
        <v/>
      </c>
      <c r="G12" t="str">
        <f>IF(COUNTIF('outliers per techniques &amp; human'!F$3:F$24,'outliers per techniques &amp; human'!V13),'outliers per techniques &amp; human'!V13,"")</f>
        <v/>
      </c>
      <c r="H12" t="str">
        <f>IF(COUNTIF('outliers per techniques &amp; human'!G$3:G$42,'outliers per techniques &amp; human'!V13),'outliers per techniques &amp; human'!V13,"")</f>
        <v/>
      </c>
      <c r="I12" t="str">
        <f>IF(COUNTIF('outliers per techniques &amp; human'!H$3:H$42,'outliers per techniques &amp; human'!V13),'outliers per techniques &amp; human'!V13,"")</f>
        <v/>
      </c>
      <c r="J12" t="str">
        <f>IF(COUNTIF('outliers per techniques &amp; human'!I$3:I$21,'outliers per techniques &amp; human'!V13),'outliers per techniques &amp; human'!V13,"")</f>
        <v/>
      </c>
      <c r="K12" t="str">
        <f>IF(COUNTIF('outliers per techniques &amp; human'!J$3:J$47,'outliers per techniques &amp; human'!V13),'outliers per techniques &amp; human'!V13,"")</f>
        <v/>
      </c>
      <c r="L12" t="str">
        <f>IF(COUNTIF('outliers per techniques &amp; human'!K$3:K$78,'outliers per techniques &amp; human'!V13),'outliers per techniques &amp; human'!V13,"")</f>
        <v/>
      </c>
      <c r="M12" t="str">
        <f>IF(COUNTIF('outliers per techniques &amp; human'!L$3:L$17,'outliers per techniques &amp; human'!V13),'outliers per techniques &amp; human'!V13,"")</f>
        <v/>
      </c>
      <c r="N12" t="str">
        <f>IF(COUNTIF('outliers per techniques &amp; human'!M$3:M$200,'outliers per techniques &amp; human'!V13),'outliers per techniques &amp; human'!V13,"")</f>
        <v>mamu</v>
      </c>
      <c r="O12" t="str">
        <f>IF(COUNTIF('outliers per techniques &amp; human'!N$3:N$25,'outliers per techniques &amp; human'!V13),'outliers per techniques &amp; human'!V13,"")</f>
        <v/>
      </c>
      <c r="P12" t="str">
        <f>IF(COUNTIF('outliers per techniques &amp; human'!O$3:O$368,'outliers per techniques &amp; human'!V13),'outliers per techniques &amp; human'!V13,"")</f>
        <v/>
      </c>
    </row>
    <row r="13" spans="2:16" x14ac:dyDescent="0.25">
      <c r="B13" s="4" t="str">
        <f>IF(COUNTIF('outliers per techniques &amp; human'!A$3:A$28,'outliers per techniques &amp; human'!$V14),'outliers per techniques &amp; human'!$V14,"")</f>
        <v/>
      </c>
      <c r="C13" t="str">
        <f>IF(COUNTIF('outliers per techniques &amp; human'!B$3:B$28,'outliers per techniques &amp; human'!V14),'outliers per techniques &amp; human'!V14,"")</f>
        <v/>
      </c>
      <c r="D13" t="str">
        <f>IF(COUNTIF('outliers per techniques &amp; human'!C$3:C$38,'outliers per techniques &amp; human'!V14),'outliers per techniques &amp; human'!V14,"")</f>
        <v/>
      </c>
      <c r="E13" t="str">
        <f>IF(COUNTIF('outliers per techniques &amp; human'!D$3:D$38,'outliers per techniques &amp; human'!V14),'outliers per techniques &amp; human'!V14,"")</f>
        <v/>
      </c>
      <c r="F13" t="str">
        <f>IF(COUNTIF('outliers per techniques &amp; human'!E$3:E$24,'outliers per techniques &amp; human'!V14),'outliers per techniques &amp; human'!V14,"")</f>
        <v/>
      </c>
      <c r="G13" t="str">
        <f>IF(COUNTIF('outliers per techniques &amp; human'!F$3:F$24,'outliers per techniques &amp; human'!V14),'outliers per techniques &amp; human'!V14,"")</f>
        <v/>
      </c>
      <c r="H13" t="str">
        <f>IF(COUNTIF('outliers per techniques &amp; human'!G$3:G$42,'outliers per techniques &amp; human'!V14),'outliers per techniques &amp; human'!V14,"")</f>
        <v/>
      </c>
      <c r="I13" t="str">
        <f>IF(COUNTIF('outliers per techniques &amp; human'!H$3:H$42,'outliers per techniques &amp; human'!V14),'outliers per techniques &amp; human'!V14,"")</f>
        <v/>
      </c>
      <c r="J13" t="str">
        <f>IF(COUNTIF('outliers per techniques &amp; human'!I$3:I$21,'outliers per techniques &amp; human'!V14),'outliers per techniques &amp; human'!V14,"")</f>
        <v/>
      </c>
      <c r="K13" t="str">
        <f>IF(COUNTIF('outliers per techniques &amp; human'!J$3:J$47,'outliers per techniques &amp; human'!V14),'outliers per techniques &amp; human'!V14,"")</f>
        <v/>
      </c>
      <c r="L13" t="str">
        <f>IF(COUNTIF('outliers per techniques &amp; human'!K$3:K$78,'outliers per techniques &amp; human'!V14),'outliers per techniques &amp; human'!V14,"")</f>
        <v/>
      </c>
      <c r="M13" t="str">
        <f>IF(COUNTIF('outliers per techniques &amp; human'!L$3:L$17,'outliers per techniques &amp; human'!V14),'outliers per techniques &amp; human'!V14,"")</f>
        <v/>
      </c>
      <c r="N13" t="str">
        <f>IF(COUNTIF('outliers per techniques &amp; human'!M$3:M$200,'outliers per techniques &amp; human'!V14),'outliers per techniques &amp; human'!V14,"")</f>
        <v/>
      </c>
      <c r="O13" t="str">
        <f>IF(COUNTIF('outliers per techniques &amp; human'!N$3:N$25,'outliers per techniques &amp; human'!V14),'outliers per techniques &amp; human'!V14,"")</f>
        <v>22</v>
      </c>
      <c r="P13" t="str">
        <f>IF(COUNTIF('outliers per techniques &amp; human'!O$3:O$368,'outliers per techniques &amp; human'!V14),'outliers per techniques &amp; human'!V14,"")</f>
        <v/>
      </c>
    </row>
    <row r="14" spans="2:16" x14ac:dyDescent="0.25">
      <c r="B14" s="4" t="str">
        <f>IF(COUNTIF('outliers per techniques &amp; human'!A$3:A$28,'outliers per techniques &amp; human'!$V15),'outliers per techniques &amp; human'!$V15,"")</f>
        <v/>
      </c>
      <c r="C14" t="str">
        <f>IF(COUNTIF('outliers per techniques &amp; human'!B$3:B$28,'outliers per techniques &amp; human'!V15),'outliers per techniques &amp; human'!V15,"")</f>
        <v/>
      </c>
      <c r="D14" t="str">
        <f>IF(COUNTIF('outliers per techniques &amp; human'!C$3:C$38,'outliers per techniques &amp; human'!V15),'outliers per techniques &amp; human'!V15,"")</f>
        <v/>
      </c>
      <c r="E14" t="str">
        <f>IF(COUNTIF('outliers per techniques &amp; human'!D$3:D$38,'outliers per techniques &amp; human'!V15),'outliers per techniques &amp; human'!V15,"")</f>
        <v/>
      </c>
      <c r="F14" t="str">
        <f>IF(COUNTIF('outliers per techniques &amp; human'!E$3:E$24,'outliers per techniques &amp; human'!V15),'outliers per techniques &amp; human'!V15,"")</f>
        <v/>
      </c>
      <c r="G14" t="str">
        <f>IF(COUNTIF('outliers per techniques &amp; human'!F$3:F$24,'outliers per techniques &amp; human'!V15),'outliers per techniques &amp; human'!V15,"")</f>
        <v/>
      </c>
      <c r="H14" t="str">
        <f>IF(COUNTIF('outliers per techniques &amp; human'!G$3:G$42,'outliers per techniques &amp; human'!V15),'outliers per techniques &amp; human'!V15,"")</f>
        <v/>
      </c>
      <c r="I14" t="str">
        <f>IF(COUNTIF('outliers per techniques &amp; human'!H$3:H$42,'outliers per techniques &amp; human'!V15),'outliers per techniques &amp; human'!V15,"")</f>
        <v/>
      </c>
      <c r="J14" t="str">
        <f>IF(COUNTIF('outliers per techniques &amp; human'!I$3:I$21,'outliers per techniques &amp; human'!V15),'outliers per techniques &amp; human'!V15,"")</f>
        <v/>
      </c>
      <c r="K14" t="str">
        <f>IF(COUNTIF('outliers per techniques &amp; human'!J$3:J$47,'outliers per techniques &amp; human'!V15),'outliers per techniques &amp; human'!V15,"")</f>
        <v/>
      </c>
      <c r="L14" t="str">
        <f>IF(COUNTIF('outliers per techniques &amp; human'!K$3:K$78,'outliers per techniques &amp; human'!V15),'outliers per techniques &amp; human'!V15,"")</f>
        <v/>
      </c>
      <c r="M14" t="str">
        <f>IF(COUNTIF('outliers per techniques &amp; human'!L$3:L$17,'outliers per techniques &amp; human'!V15),'outliers per techniques &amp; human'!V15,"")</f>
        <v/>
      </c>
      <c r="N14" t="str">
        <f>IF(COUNTIF('outliers per techniques &amp; human'!M$3:M$200,'outliers per techniques &amp; human'!V15),'outliers per techniques &amp; human'!V15,"")</f>
        <v>relationen</v>
      </c>
      <c r="O14" t="str">
        <f>IF(COUNTIF('outliers per techniques &amp; human'!N$3:N$25,'outliers per techniques &amp; human'!V15),'outliers per techniques &amp; human'!V15,"")</f>
        <v/>
      </c>
      <c r="P14" t="str">
        <f>IF(COUNTIF('outliers per techniques &amp; human'!O$3:O$368,'outliers per techniques &amp; human'!V15),'outliers per techniques &amp; human'!V15,"")</f>
        <v/>
      </c>
    </row>
    <row r="15" spans="2:16" x14ac:dyDescent="0.25">
      <c r="B15" s="4" t="str">
        <f>IF(COUNTIF('outliers per techniques &amp; human'!A$3:A$28,'outliers per techniques &amp; human'!$V16),'outliers per techniques &amp; human'!$V16,"")</f>
        <v/>
      </c>
      <c r="C15" t="str">
        <f>IF(COUNTIF('outliers per techniques &amp; human'!B$3:B$28,'outliers per techniques &amp; human'!V16),'outliers per techniques &amp; human'!V16,"")</f>
        <v/>
      </c>
      <c r="D15" t="str">
        <f>IF(COUNTIF('outliers per techniques &amp; human'!C$3:C$38,'outliers per techniques &amp; human'!V16),'outliers per techniques &amp; human'!V16,"")</f>
        <v/>
      </c>
      <c r="E15" t="str">
        <f>IF(COUNTIF('outliers per techniques &amp; human'!D$3:D$38,'outliers per techniques &amp; human'!V16),'outliers per techniques &amp; human'!V16,"")</f>
        <v/>
      </c>
      <c r="F15" t="str">
        <f>IF(COUNTIF('outliers per techniques &amp; human'!E$3:E$24,'outliers per techniques &amp; human'!V16),'outliers per techniques &amp; human'!V16,"")</f>
        <v/>
      </c>
      <c r="G15" t="str">
        <f>IF(COUNTIF('outliers per techniques &amp; human'!F$3:F$24,'outliers per techniques &amp; human'!V16),'outliers per techniques &amp; human'!V16,"")</f>
        <v/>
      </c>
      <c r="H15" t="str">
        <f>IF(COUNTIF('outliers per techniques &amp; human'!G$3:G$42,'outliers per techniques &amp; human'!V16),'outliers per techniques &amp; human'!V16,"")</f>
        <v/>
      </c>
      <c r="I15" t="str">
        <f>IF(COUNTIF('outliers per techniques &amp; human'!H$3:H$42,'outliers per techniques &amp; human'!V16),'outliers per techniques &amp; human'!V16,"")</f>
        <v/>
      </c>
      <c r="J15" t="str">
        <f>IF(COUNTIF('outliers per techniques &amp; human'!I$3:I$21,'outliers per techniques &amp; human'!V16),'outliers per techniques &amp; human'!V16,"")</f>
        <v/>
      </c>
      <c r="K15" t="str">
        <f>IF(COUNTIF('outliers per techniques &amp; human'!J$3:J$47,'outliers per techniques &amp; human'!V16),'outliers per techniques &amp; human'!V16,"")</f>
        <v/>
      </c>
      <c r="L15" t="str">
        <f>IF(COUNTIF('outliers per techniques &amp; human'!K$3:K$78,'outliers per techniques &amp; human'!V16),'outliers per techniques &amp; human'!V16,"")</f>
        <v/>
      </c>
      <c r="M15" t="str">
        <f>IF(COUNTIF('outliers per techniques &amp; human'!L$3:L$17,'outliers per techniques &amp; human'!V16),'outliers per techniques &amp; human'!V16,"")</f>
        <v/>
      </c>
      <c r="N15" t="str">
        <f>IF(COUNTIF('outliers per techniques &amp; human'!M$3:M$200,'outliers per techniques &amp; human'!V16),'outliers per techniques &amp; human'!V16,"")</f>
        <v>bart</v>
      </c>
      <c r="O15" t="str">
        <f>IF(COUNTIF('outliers per techniques &amp; human'!N$3:N$25,'outliers per techniques &amp; human'!V16),'outliers per techniques &amp; human'!V16,"")</f>
        <v/>
      </c>
      <c r="P15" t="str">
        <f>IF(COUNTIF('outliers per techniques &amp; human'!O$3:O$368,'outliers per techniques &amp; human'!V16),'outliers per techniques &amp; human'!V16,"")</f>
        <v/>
      </c>
    </row>
    <row r="16" spans="2:16" x14ac:dyDescent="0.25">
      <c r="B16" s="4" t="str">
        <f>IF(COUNTIF('outliers per techniques &amp; human'!A$3:A$28,'outliers per techniques &amp; human'!$V17),'outliers per techniques &amp; human'!$V17,"")</f>
        <v/>
      </c>
      <c r="C16" t="str">
        <f>IF(COUNTIF('outliers per techniques &amp; human'!B$3:B$28,'outliers per techniques &amp; human'!V17),'outliers per techniques &amp; human'!V17,"")</f>
        <v/>
      </c>
      <c r="D16" t="str">
        <f>IF(COUNTIF('outliers per techniques &amp; human'!C$3:C$38,'outliers per techniques &amp; human'!V17),'outliers per techniques &amp; human'!V17,"")</f>
        <v/>
      </c>
      <c r="E16" t="str">
        <f>IF(COUNTIF('outliers per techniques &amp; human'!D$3:D$38,'outliers per techniques &amp; human'!V17),'outliers per techniques &amp; human'!V17,"")</f>
        <v/>
      </c>
      <c r="F16" t="str">
        <f>IF(COUNTIF('outliers per techniques &amp; human'!E$3:E$24,'outliers per techniques &amp; human'!V17),'outliers per techniques &amp; human'!V17,"")</f>
        <v/>
      </c>
      <c r="G16" t="str">
        <f>IF(COUNTIF('outliers per techniques &amp; human'!F$3:F$24,'outliers per techniques &amp; human'!V17),'outliers per techniques &amp; human'!V17,"")</f>
        <v/>
      </c>
      <c r="H16" t="str">
        <f>IF(COUNTIF('outliers per techniques &amp; human'!G$3:G$42,'outliers per techniques &amp; human'!V17),'outliers per techniques &amp; human'!V17,"")</f>
        <v/>
      </c>
      <c r="I16" t="str">
        <f>IF(COUNTIF('outliers per techniques &amp; human'!H$3:H$42,'outliers per techniques &amp; human'!V17),'outliers per techniques &amp; human'!V17,"")</f>
        <v/>
      </c>
      <c r="J16" t="str">
        <f>IF(COUNTIF('outliers per techniques &amp; human'!I$3:I$21,'outliers per techniques &amp; human'!V17),'outliers per techniques &amp; human'!V17,"")</f>
        <v/>
      </c>
      <c r="K16" t="str">
        <f>IF(COUNTIF('outliers per techniques &amp; human'!J$3:J$47,'outliers per techniques &amp; human'!V17),'outliers per techniques &amp; human'!V17,"")</f>
        <v/>
      </c>
      <c r="L16" t="str">
        <f>IF(COUNTIF('outliers per techniques &amp; human'!K$3:K$78,'outliers per techniques &amp; human'!V17),'outliers per techniques &amp; human'!V17,"")</f>
        <v/>
      </c>
      <c r="M16" t="str">
        <f>IF(COUNTIF('outliers per techniques &amp; human'!L$3:L$17,'outliers per techniques &amp; human'!V17),'outliers per techniques &amp; human'!V17,"")</f>
        <v/>
      </c>
      <c r="N16" t="str">
        <f>IF(COUNTIF('outliers per techniques &amp; human'!M$3:M$200,'outliers per techniques &amp; human'!V17),'outliers per techniques &amp; human'!V17,"")</f>
        <v/>
      </c>
      <c r="O16" t="str">
        <f>IF(COUNTIF('outliers per techniques &amp; human'!N$3:N$25,'outliers per techniques &amp; human'!V17),'outliers per techniques &amp; human'!V17,"")</f>
        <v/>
      </c>
      <c r="P16" t="str">
        <f>IF(COUNTIF('outliers per techniques &amp; human'!O$3:O$368,'outliers per techniques &amp; human'!V17),'outliers per techniques &amp; human'!V17,"")</f>
        <v>mohammed</v>
      </c>
    </row>
    <row r="17" spans="2:16" x14ac:dyDescent="0.25">
      <c r="B17" s="4" t="str">
        <f>IF(COUNTIF('outliers per techniques &amp; human'!A$3:A$28,'outliers per techniques &amp; human'!$V18),'outliers per techniques &amp; human'!$V18,"")</f>
        <v/>
      </c>
      <c r="C17" t="str">
        <f>IF(COUNTIF('outliers per techniques &amp; human'!B$3:B$28,'outliers per techniques &amp; human'!V18),'outliers per techniques &amp; human'!V18,"")</f>
        <v/>
      </c>
      <c r="D17" t="str">
        <f>IF(COUNTIF('outliers per techniques &amp; human'!C$3:C$38,'outliers per techniques &amp; human'!V18),'outliers per techniques &amp; human'!V18,"")</f>
        <v/>
      </c>
      <c r="E17" t="str">
        <f>IF(COUNTIF('outliers per techniques &amp; human'!D$3:D$38,'outliers per techniques &amp; human'!V18),'outliers per techniques &amp; human'!V18,"")</f>
        <v/>
      </c>
      <c r="F17" t="str">
        <f>IF(COUNTIF('outliers per techniques &amp; human'!E$3:E$24,'outliers per techniques &amp; human'!V18),'outliers per techniques &amp; human'!V18,"")</f>
        <v/>
      </c>
      <c r="G17" t="str">
        <f>IF(COUNTIF('outliers per techniques &amp; human'!F$3:F$24,'outliers per techniques &amp; human'!V18),'outliers per techniques &amp; human'!V18,"")</f>
        <v/>
      </c>
      <c r="H17" t="str">
        <f>IF(COUNTIF('outliers per techniques &amp; human'!G$3:G$42,'outliers per techniques &amp; human'!V18),'outliers per techniques &amp; human'!V18,"")</f>
        <v/>
      </c>
      <c r="I17" t="str">
        <f>IF(COUNTIF('outliers per techniques &amp; human'!H$3:H$42,'outliers per techniques &amp; human'!V18),'outliers per techniques &amp; human'!V18,"")</f>
        <v/>
      </c>
      <c r="J17" t="str">
        <f>IF(COUNTIF('outliers per techniques &amp; human'!I$3:I$21,'outliers per techniques &amp; human'!V18),'outliers per techniques &amp; human'!V18,"")</f>
        <v/>
      </c>
      <c r="K17" t="str">
        <f>IF(COUNTIF('outliers per techniques &amp; human'!J$3:J$47,'outliers per techniques &amp; human'!V18),'outliers per techniques &amp; human'!V18,"")</f>
        <v/>
      </c>
      <c r="L17" t="str">
        <f>IF(COUNTIF('outliers per techniques &amp; human'!K$3:K$78,'outliers per techniques &amp; human'!V18),'outliers per techniques &amp; human'!V18,"")</f>
        <v/>
      </c>
      <c r="M17" t="str">
        <f>IF(COUNTIF('outliers per techniques &amp; human'!L$3:L$17,'outliers per techniques &amp; human'!V18),'outliers per techniques &amp; human'!V18,"")</f>
        <v/>
      </c>
      <c r="N17" t="str">
        <f>IF(COUNTIF('outliers per techniques &amp; human'!M$3:M$200,'outliers per techniques &amp; human'!V18),'outliers per techniques &amp; human'!V18,"")</f>
        <v>wismasys0809</v>
      </c>
      <c r="O17" t="str">
        <f>IF(COUNTIF('outliers per techniques &amp; human'!N$3:N$25,'outliers per techniques &amp; human'!V18),'outliers per techniques &amp; human'!V18,"")</f>
        <v/>
      </c>
      <c r="P17" t="str">
        <f>IF(COUNTIF('outliers per techniques &amp; human'!O$3:O$368,'outliers per techniques &amp; human'!V18),'outliers per techniques &amp; human'!V18,"")</f>
        <v/>
      </c>
    </row>
    <row r="18" spans="2:16" x14ac:dyDescent="0.25">
      <c r="B18" s="4" t="str">
        <f>IF(COUNTIF('outliers per techniques &amp; human'!A$3:A$28,'outliers per techniques &amp; human'!$V19),'outliers per techniques &amp; human'!$V19,"")</f>
        <v/>
      </c>
      <c r="C18" t="str">
        <f>IF(COUNTIF('outliers per techniques &amp; human'!B$3:B$28,'outliers per techniques &amp; human'!V19),'outliers per techniques &amp; human'!V19,"")</f>
        <v/>
      </c>
      <c r="D18" t="str">
        <f>IF(COUNTIF('outliers per techniques &amp; human'!C$3:C$38,'outliers per techniques &amp; human'!V19),'outliers per techniques &amp; human'!V19,"")</f>
        <v/>
      </c>
      <c r="E18" t="str">
        <f>IF(COUNTIF('outliers per techniques &amp; human'!D$3:D$38,'outliers per techniques &amp; human'!V19),'outliers per techniques &amp; human'!V19,"")</f>
        <v/>
      </c>
      <c r="F18" t="str">
        <f>IF(COUNTIF('outliers per techniques &amp; human'!E$3:E$24,'outliers per techniques &amp; human'!V19),'outliers per techniques &amp; human'!V19,"")</f>
        <v/>
      </c>
      <c r="G18" t="str">
        <f>IF(COUNTIF('outliers per techniques &amp; human'!F$3:F$24,'outliers per techniques &amp; human'!V19),'outliers per techniques &amp; human'!V19,"")</f>
        <v/>
      </c>
      <c r="H18" t="str">
        <f>IF(COUNTIF('outliers per techniques &amp; human'!G$3:G$42,'outliers per techniques &amp; human'!V19),'outliers per techniques &amp; human'!V19,"")</f>
        <v/>
      </c>
      <c r="I18" t="str">
        <f>IF(COUNTIF('outliers per techniques &amp; human'!H$3:H$42,'outliers per techniques &amp; human'!V19),'outliers per techniques &amp; human'!V19,"")</f>
        <v/>
      </c>
      <c r="J18" t="str">
        <f>IF(COUNTIF('outliers per techniques &amp; human'!I$3:I$21,'outliers per techniques &amp; human'!V19),'outliers per techniques &amp; human'!V19,"")</f>
        <v/>
      </c>
      <c r="K18" t="str">
        <f>IF(COUNTIF('outliers per techniques &amp; human'!J$3:J$47,'outliers per techniques &amp; human'!V19),'outliers per techniques &amp; human'!V19,"")</f>
        <v/>
      </c>
      <c r="L18" t="str">
        <f>IF(COUNTIF('outliers per techniques &amp; human'!K$3:K$78,'outliers per techniques &amp; human'!V19),'outliers per techniques &amp; human'!V19,"")</f>
        <v/>
      </c>
      <c r="M18" t="str">
        <f>IF(COUNTIF('outliers per techniques &amp; human'!L$3:L$17,'outliers per techniques &amp; human'!V19),'outliers per techniques &amp; human'!V19,"")</f>
        <v/>
      </c>
      <c r="N18" t="str">
        <f>IF(COUNTIF('outliers per techniques &amp; human'!M$3:M$200,'outliers per techniques &amp; human'!V19),'outliers per techniques &amp; human'!V19,"")</f>
        <v>genfood</v>
      </c>
      <c r="O18" t="str">
        <f>IF(COUNTIF('outliers per techniques &amp; human'!N$3:N$25,'outliers per techniques &amp; human'!V19),'outliers per techniques &amp; human'!V19,"")</f>
        <v/>
      </c>
      <c r="P18" t="str">
        <f>IF(COUNTIF('outliers per techniques &amp; human'!O$3:O$368,'outliers per techniques &amp; human'!V19),'outliers per techniques &amp; human'!V19,"")</f>
        <v/>
      </c>
    </row>
    <row r="19" spans="2:16" x14ac:dyDescent="0.25">
      <c r="B19" s="4" t="str">
        <f>IF(COUNTIF('outliers per techniques &amp; human'!A$3:A$28,'outliers per techniques &amp; human'!$V20),'outliers per techniques &amp; human'!$V20,"")</f>
        <v/>
      </c>
      <c r="C19" t="str">
        <f>IF(COUNTIF('outliers per techniques &amp; human'!B$3:B$28,'outliers per techniques &amp; human'!V20),'outliers per techniques &amp; human'!V20,"")</f>
        <v/>
      </c>
      <c r="D19" t="str">
        <f>IF(COUNTIF('outliers per techniques &amp; human'!C$3:C$38,'outliers per techniques &amp; human'!V20),'outliers per techniques &amp; human'!V20,"")</f>
        <v/>
      </c>
      <c r="E19" t="str">
        <f>IF(COUNTIF('outliers per techniques &amp; human'!D$3:D$38,'outliers per techniques &amp; human'!V20),'outliers per techniques &amp; human'!V20,"")</f>
        <v/>
      </c>
      <c r="F19" t="str">
        <f>IF(COUNTIF('outliers per techniques &amp; human'!E$3:E$24,'outliers per techniques &amp; human'!V20),'outliers per techniques &amp; human'!V20,"")</f>
        <v/>
      </c>
      <c r="G19" t="str">
        <f>IF(COUNTIF('outliers per techniques &amp; human'!F$3:F$24,'outliers per techniques &amp; human'!V20),'outliers per techniques &amp; human'!V20,"")</f>
        <v/>
      </c>
      <c r="H19" t="str">
        <f>IF(COUNTIF('outliers per techniques &amp; human'!G$3:G$42,'outliers per techniques &amp; human'!V20),'outliers per techniques &amp; human'!V20,"")</f>
        <v/>
      </c>
      <c r="I19" t="str">
        <f>IF(COUNTIF('outliers per techniques &amp; human'!H$3:H$42,'outliers per techniques &amp; human'!V20),'outliers per techniques &amp; human'!V20,"")</f>
        <v/>
      </c>
      <c r="J19" t="str">
        <f>IF(COUNTIF('outliers per techniques &amp; human'!I$3:I$21,'outliers per techniques &amp; human'!V20),'outliers per techniques &amp; human'!V20,"")</f>
        <v/>
      </c>
      <c r="K19" t="str">
        <f>IF(COUNTIF('outliers per techniques &amp; human'!J$3:J$47,'outliers per techniques &amp; human'!V20),'outliers per techniques &amp; human'!V20,"")</f>
        <v/>
      </c>
      <c r="L19" t="str">
        <f>IF(COUNTIF('outliers per techniques &amp; human'!K$3:K$78,'outliers per techniques &amp; human'!V20),'outliers per techniques &amp; human'!V20,"")</f>
        <v/>
      </c>
      <c r="M19" t="str">
        <f>IF(COUNTIF('outliers per techniques &amp; human'!L$3:L$17,'outliers per techniques &amp; human'!V20),'outliers per techniques &amp; human'!V20,"")</f>
        <v/>
      </c>
      <c r="N19" t="str">
        <f>IF(COUNTIF('outliers per techniques &amp; human'!M$3:M$200,'outliers per techniques &amp; human'!V20),'outliers per techniques &amp; human'!V20,"")</f>
        <v>scholastik</v>
      </c>
      <c r="O19" t="str">
        <f>IF(COUNTIF('outliers per techniques &amp; human'!N$3:N$25,'outliers per techniques &amp; human'!V20),'outliers per techniques &amp; human'!V20,"")</f>
        <v/>
      </c>
      <c r="P19" t="str">
        <f>IF(COUNTIF('outliers per techniques &amp; human'!O$3:O$368,'outliers per techniques &amp; human'!V20),'outliers per techniques &amp; human'!V20,"")</f>
        <v/>
      </c>
    </row>
    <row r="20" spans="2:16" x14ac:dyDescent="0.25">
      <c r="B20" s="4" t="str">
        <f>IF(COUNTIF('outliers per techniques &amp; human'!A$3:A$28,'outliers per techniques &amp; human'!$V21),'outliers per techniques &amp; human'!$V21,"")</f>
        <v/>
      </c>
      <c r="C20" t="str">
        <f>IF(COUNTIF('outliers per techniques &amp; human'!B$3:B$28,'outliers per techniques &amp; human'!V21),'outliers per techniques &amp; human'!V21,"")</f>
        <v/>
      </c>
      <c r="D20" t="str">
        <f>IF(COUNTIF('outliers per techniques &amp; human'!C$3:C$38,'outliers per techniques &amp; human'!V21),'outliers per techniques &amp; human'!V21,"")</f>
        <v/>
      </c>
      <c r="E20" t="str">
        <f>IF(COUNTIF('outliers per techniques &amp; human'!D$3:D$38,'outliers per techniques &amp; human'!V21),'outliers per techniques &amp; human'!V21,"")</f>
        <v/>
      </c>
      <c r="F20" t="str">
        <f>IF(COUNTIF('outliers per techniques &amp; human'!E$3:E$24,'outliers per techniques &amp; human'!V21),'outliers per techniques &amp; human'!V21,"")</f>
        <v>logistik</v>
      </c>
      <c r="G20" t="str">
        <f>IF(COUNTIF('outliers per techniques &amp; human'!F$3:F$24,'outliers per techniques &amp; human'!V21),'outliers per techniques &amp; human'!V21,"")</f>
        <v>logistik</v>
      </c>
      <c r="H20" t="str">
        <f>IF(COUNTIF('outliers per techniques &amp; human'!G$3:G$42,'outliers per techniques &amp; human'!V21),'outliers per techniques &amp; human'!V21,"")</f>
        <v>logistik</v>
      </c>
      <c r="I20" t="str">
        <f>IF(COUNTIF('outliers per techniques &amp; human'!H$3:H$42,'outliers per techniques &amp; human'!V21),'outliers per techniques &amp; human'!V21,"")</f>
        <v>logistik</v>
      </c>
      <c r="J20" t="str">
        <f>IF(COUNTIF('outliers per techniques &amp; human'!I$3:I$21,'outliers per techniques &amp; human'!V21),'outliers per techniques &amp; human'!V21,"")</f>
        <v/>
      </c>
      <c r="K20" t="str">
        <f>IF(COUNTIF('outliers per techniques &amp; human'!J$3:J$47,'outliers per techniques &amp; human'!V21),'outliers per techniques &amp; human'!V21,"")</f>
        <v/>
      </c>
      <c r="L20" t="str">
        <f>IF(COUNTIF('outliers per techniques &amp; human'!K$3:K$78,'outliers per techniques &amp; human'!V21),'outliers per techniques &amp; human'!V21,"")</f>
        <v/>
      </c>
      <c r="M20" t="str">
        <f>IF(COUNTIF('outliers per techniques &amp; human'!L$3:L$17,'outliers per techniques &amp; human'!V21),'outliers per techniques &amp; human'!V21,"")</f>
        <v/>
      </c>
      <c r="N20" t="str">
        <f>IF(COUNTIF('outliers per techniques &amp; human'!M$3:M$200,'outliers per techniques &amp; human'!V21),'outliers per techniques &amp; human'!V21,"")</f>
        <v/>
      </c>
      <c r="O20" t="str">
        <f>IF(COUNTIF('outliers per techniques &amp; human'!N$3:N$25,'outliers per techniques &amp; human'!V21),'outliers per techniques &amp; human'!V21,"")</f>
        <v/>
      </c>
      <c r="P20" t="str">
        <f>IF(COUNTIF('outliers per techniques &amp; human'!O$3:O$368,'outliers per techniques &amp; human'!V21),'outliers per techniques &amp; human'!V21,"")</f>
        <v/>
      </c>
    </row>
    <row r="21" spans="2:16" x14ac:dyDescent="0.25">
      <c r="B21" s="4" t="str">
        <f>IF(COUNTIF('outliers per techniques &amp; human'!A$3:A$28,'outliers per techniques &amp; human'!$V22),'outliers per techniques &amp; human'!$V22,"")</f>
        <v/>
      </c>
      <c r="C21" t="str">
        <f>IF(COUNTIF('outliers per techniques &amp; human'!B$3:B$28,'outliers per techniques &amp; human'!V22),'outliers per techniques &amp; human'!V22,"")</f>
        <v/>
      </c>
      <c r="D21" t="str">
        <f>IF(COUNTIF('outliers per techniques &amp; human'!C$3:C$38,'outliers per techniques &amp; human'!V22),'outliers per techniques &amp; human'!V22,"")</f>
        <v/>
      </c>
      <c r="E21" t="str">
        <f>IF(COUNTIF('outliers per techniques &amp; human'!D$3:D$38,'outliers per techniques &amp; human'!V22),'outliers per techniques &amp; human'!V22,"")</f>
        <v/>
      </c>
      <c r="F21" t="str">
        <f>IF(COUNTIF('outliers per techniques &amp; human'!E$3:E$24,'outliers per techniques &amp; human'!V22),'outliers per techniques &amp; human'!V22,"")</f>
        <v/>
      </c>
      <c r="G21" t="str">
        <f>IF(COUNTIF('outliers per techniques &amp; human'!F$3:F$24,'outliers per techniques &amp; human'!V22),'outliers per techniques &amp; human'!V22,"")</f>
        <v/>
      </c>
      <c r="H21" t="str">
        <f>IF(COUNTIF('outliers per techniques &amp; human'!G$3:G$42,'outliers per techniques &amp; human'!V22),'outliers per techniques &amp; human'!V22,"")</f>
        <v/>
      </c>
      <c r="I21" t="str">
        <f>IF(COUNTIF('outliers per techniques &amp; human'!H$3:H$42,'outliers per techniques &amp; human'!V22),'outliers per techniques &amp; human'!V22,"")</f>
        <v/>
      </c>
      <c r="J21" t="str">
        <f>IF(COUNTIF('outliers per techniques &amp; human'!I$3:I$21,'outliers per techniques &amp; human'!V22),'outliers per techniques &amp; human'!V22,"")</f>
        <v/>
      </c>
      <c r="K21" t="str">
        <f>IF(COUNTIF('outliers per techniques &amp; human'!J$3:J$47,'outliers per techniques &amp; human'!V22),'outliers per techniques &amp; human'!V22,"")</f>
        <v/>
      </c>
      <c r="L21" t="str">
        <f>IF(COUNTIF('outliers per techniques &amp; human'!K$3:K$78,'outliers per techniques &amp; human'!V22),'outliers per techniques &amp; human'!V22,"")</f>
        <v/>
      </c>
      <c r="M21" t="str">
        <f>IF(COUNTIF('outliers per techniques &amp; human'!L$3:L$17,'outliers per techniques &amp; human'!V22),'outliers per techniques &amp; human'!V22,"")</f>
        <v/>
      </c>
      <c r="N21" t="str">
        <f>IF(COUNTIF('outliers per techniques &amp; human'!M$3:M$200,'outliers per techniques &amp; human'!V22),'outliers per techniques &amp; human'!V22,"")</f>
        <v/>
      </c>
      <c r="O21" t="str">
        <f>IF(COUNTIF('outliers per techniques &amp; human'!N$3:N$25,'outliers per techniques &amp; human'!V22),'outliers per techniques &amp; human'!V22,"")</f>
        <v/>
      </c>
      <c r="P21" t="str">
        <f>IF(COUNTIF('outliers per techniques &amp; human'!O$3:O$368,'outliers per techniques &amp; human'!V22),'outliers per techniques &amp; human'!V22,"")</f>
        <v>ag</v>
      </c>
    </row>
    <row r="22" spans="2:16" x14ac:dyDescent="0.25">
      <c r="B22" s="4" t="str">
        <f>IF(COUNTIF('outliers per techniques &amp; human'!A$3:A$28,'outliers per techniques &amp; human'!$V23),'outliers per techniques &amp; human'!$V23,"")</f>
        <v/>
      </c>
      <c r="C22" t="str">
        <f>IF(COUNTIF('outliers per techniques &amp; human'!B$3:B$28,'outliers per techniques &amp; human'!V23),'outliers per techniques &amp; human'!V23,"")</f>
        <v/>
      </c>
      <c r="D22" t="str">
        <f>IF(COUNTIF('outliers per techniques &amp; human'!C$3:C$38,'outliers per techniques &amp; human'!V23),'outliers per techniques &amp; human'!V23,"")</f>
        <v/>
      </c>
      <c r="E22" t="str">
        <f>IF(COUNTIF('outliers per techniques &amp; human'!D$3:D$38,'outliers per techniques &amp; human'!V23),'outliers per techniques &amp; human'!V23,"")</f>
        <v/>
      </c>
      <c r="F22" t="str">
        <f>IF(COUNTIF('outliers per techniques &amp; human'!E$3:E$24,'outliers per techniques &amp; human'!V23),'outliers per techniques &amp; human'!V23,"")</f>
        <v/>
      </c>
      <c r="G22" t="str">
        <f>IF(COUNTIF('outliers per techniques &amp; human'!F$3:F$24,'outliers per techniques &amp; human'!V23),'outliers per techniques &amp; human'!V23,"")</f>
        <v/>
      </c>
      <c r="H22" t="str">
        <f>IF(COUNTIF('outliers per techniques &amp; human'!G$3:G$42,'outliers per techniques &amp; human'!V23),'outliers per techniques &amp; human'!V23,"")</f>
        <v/>
      </c>
      <c r="I22" t="str">
        <f>IF(COUNTIF('outliers per techniques &amp; human'!H$3:H$42,'outliers per techniques &amp; human'!V23),'outliers per techniques &amp; human'!V23,"")</f>
        <v/>
      </c>
      <c r="J22" t="str">
        <f>IF(COUNTIF('outliers per techniques &amp; human'!I$3:I$21,'outliers per techniques &amp; human'!V23),'outliers per techniques &amp; human'!V23,"")</f>
        <v/>
      </c>
      <c r="K22" t="str">
        <f>IF(COUNTIF('outliers per techniques &amp; human'!J$3:J$47,'outliers per techniques &amp; human'!V23),'outliers per techniques &amp; human'!V23,"")</f>
        <v/>
      </c>
      <c r="L22" t="str">
        <f>IF(COUNTIF('outliers per techniques &amp; human'!K$3:K$78,'outliers per techniques &amp; human'!V23),'outliers per techniques &amp; human'!V23,"")</f>
        <v/>
      </c>
      <c r="M22" t="str">
        <f>IF(COUNTIF('outliers per techniques &amp; human'!L$3:L$17,'outliers per techniques &amp; human'!V23),'outliers per techniques &amp; human'!V23,"")</f>
        <v/>
      </c>
      <c r="N22" t="str">
        <f>IF(COUNTIF('outliers per techniques &amp; human'!M$3:M$200,'outliers per techniques &amp; human'!V23),'outliers per techniques &amp; human'!V23,"")</f>
        <v>ee</v>
      </c>
      <c r="O22" t="str">
        <f>IF(COUNTIF('outliers per techniques &amp; human'!N$3:N$25,'outliers per techniques &amp; human'!V23),'outliers per techniques &amp; human'!V23,"")</f>
        <v/>
      </c>
      <c r="P22" t="str">
        <f>IF(COUNTIF('outliers per techniques &amp; human'!O$3:O$368,'outliers per techniques &amp; human'!V23),'outliers per techniques &amp; human'!V23,"")</f>
        <v/>
      </c>
    </row>
    <row r="23" spans="2:16" x14ac:dyDescent="0.25">
      <c r="B23" s="4" t="str">
        <f>IF(COUNTIF('outliers per techniques &amp; human'!A$3:A$28,'outliers per techniques &amp; human'!$V24),'outliers per techniques &amp; human'!$V24,"")</f>
        <v>gm</v>
      </c>
      <c r="C23" t="str">
        <f>IF(COUNTIF('outliers per techniques &amp; human'!B$3:B$28,'outliers per techniques &amp; human'!V24),'outliers per techniques &amp; human'!V24,"")</f>
        <v/>
      </c>
      <c r="D23" t="str">
        <f>IF(COUNTIF('outliers per techniques &amp; human'!C$3:C$38,'outliers per techniques &amp; human'!V24),'outliers per techniques &amp; human'!V24,"")</f>
        <v>gm</v>
      </c>
      <c r="E23" t="str">
        <f>IF(COUNTIF('outliers per techniques &amp; human'!D$3:D$38,'outliers per techniques &amp; human'!V24),'outliers per techniques &amp; human'!V24,"")</f>
        <v/>
      </c>
      <c r="F23" t="str">
        <f>IF(COUNTIF('outliers per techniques &amp; human'!E$3:E$24,'outliers per techniques &amp; human'!V24),'outliers per techniques &amp; human'!V24,"")</f>
        <v/>
      </c>
      <c r="G23" t="str">
        <f>IF(COUNTIF('outliers per techniques &amp; human'!F$3:F$24,'outliers per techniques &amp; human'!V24),'outliers per techniques &amp; human'!V24,"")</f>
        <v/>
      </c>
      <c r="H23" t="str">
        <f>IF(COUNTIF('outliers per techniques &amp; human'!G$3:G$42,'outliers per techniques &amp; human'!V24),'outliers per techniques &amp; human'!V24,"")</f>
        <v/>
      </c>
      <c r="I23" t="str">
        <f>IF(COUNTIF('outliers per techniques &amp; human'!H$3:H$42,'outliers per techniques &amp; human'!V24),'outliers per techniques &amp; human'!V24,"")</f>
        <v/>
      </c>
      <c r="J23" t="str">
        <f>IF(COUNTIF('outliers per techniques &amp; human'!I$3:I$21,'outliers per techniques &amp; human'!V24),'outliers per techniques &amp; human'!V24,"")</f>
        <v/>
      </c>
      <c r="K23" t="str">
        <f>IF(COUNTIF('outliers per techniques &amp; human'!J$3:J$47,'outliers per techniques &amp; human'!V24),'outliers per techniques &amp; human'!V24,"")</f>
        <v/>
      </c>
      <c r="L23" t="str">
        <f>IF(COUNTIF('outliers per techniques &amp; human'!K$3:K$78,'outliers per techniques &amp; human'!V24),'outliers per techniques &amp; human'!V24,"")</f>
        <v/>
      </c>
      <c r="M23" t="str">
        <f>IF(COUNTIF('outliers per techniques &amp; human'!L$3:L$17,'outliers per techniques &amp; human'!V24),'outliers per techniques &amp; human'!V24,"")</f>
        <v/>
      </c>
      <c r="N23" t="str">
        <f>IF(COUNTIF('outliers per techniques &amp; human'!M$3:M$200,'outliers per techniques &amp; human'!V24),'outliers per techniques &amp; human'!V24,"")</f>
        <v/>
      </c>
      <c r="O23" t="str">
        <f>IF(COUNTIF('outliers per techniques &amp; human'!N$3:N$25,'outliers per techniques &amp; human'!V24),'outliers per techniques &amp; human'!V24,"")</f>
        <v/>
      </c>
      <c r="P23" t="str">
        <f>IF(COUNTIF('outliers per techniques &amp; human'!O$3:O$368,'outliers per techniques &amp; human'!V24),'outliers per techniques &amp; human'!V24,"")</f>
        <v/>
      </c>
    </row>
    <row r="24" spans="2:16" x14ac:dyDescent="0.25">
      <c r="B24" s="4" t="str">
        <f>IF(COUNTIF('outliers per techniques &amp; human'!A$3:A$28,'outliers per techniques &amp; human'!$V25),'outliers per techniques &amp; human'!$V25,"")</f>
        <v/>
      </c>
      <c r="C24" t="str">
        <f>IF(COUNTIF('outliers per techniques &amp; human'!B$3:B$28,'outliers per techniques &amp; human'!V25),'outliers per techniques &amp; human'!V25,"")</f>
        <v/>
      </c>
      <c r="D24" t="str">
        <f>IF(COUNTIF('outliers per techniques &amp; human'!C$3:C$38,'outliers per techniques &amp; human'!V25),'outliers per techniques &amp; human'!V25,"")</f>
        <v/>
      </c>
      <c r="E24" t="str">
        <f>IF(COUNTIF('outliers per techniques &amp; human'!D$3:D$38,'outliers per techniques &amp; human'!V25),'outliers per techniques &amp; human'!V25,"")</f>
        <v/>
      </c>
      <c r="F24" t="str">
        <f>IF(COUNTIF('outliers per techniques &amp; human'!E$3:E$24,'outliers per techniques &amp; human'!V25),'outliers per techniques &amp; human'!V25,"")</f>
        <v/>
      </c>
      <c r="G24" t="str">
        <f>IF(COUNTIF('outliers per techniques &amp; human'!F$3:F$24,'outliers per techniques &amp; human'!V25),'outliers per techniques &amp; human'!V25,"")</f>
        <v/>
      </c>
      <c r="H24" t="str">
        <f>IF(COUNTIF('outliers per techniques &amp; human'!G$3:G$42,'outliers per techniques &amp; human'!V25),'outliers per techniques &amp; human'!V25,"")</f>
        <v/>
      </c>
      <c r="I24" t="str">
        <f>IF(COUNTIF('outliers per techniques &amp; human'!H$3:H$42,'outliers per techniques &amp; human'!V25),'outliers per techniques &amp; human'!V25,"")</f>
        <v/>
      </c>
      <c r="J24" t="str">
        <f>IF(COUNTIF('outliers per techniques &amp; human'!I$3:I$21,'outliers per techniques &amp; human'!V25),'outliers per techniques &amp; human'!V25,"")</f>
        <v/>
      </c>
      <c r="K24" t="str">
        <f>IF(COUNTIF('outliers per techniques &amp; human'!J$3:J$47,'outliers per techniques &amp; human'!V25),'outliers per techniques &amp; human'!V25,"")</f>
        <v/>
      </c>
      <c r="L24" t="str">
        <f>IF(COUNTIF('outliers per techniques &amp; human'!K$3:K$78,'outliers per techniques &amp; human'!V25),'outliers per techniques &amp; human'!V25,"")</f>
        <v/>
      </c>
      <c r="M24" t="str">
        <f>IF(COUNTIF('outliers per techniques &amp; human'!L$3:L$17,'outliers per techniques &amp; human'!V25),'outliers per techniques &amp; human'!V25,"")</f>
        <v/>
      </c>
      <c r="N24" t="str">
        <f>IF(COUNTIF('outliers per techniques &amp; human'!M$3:M$200,'outliers per techniques &amp; human'!V25),'outliers per techniques &amp; human'!V25,"")</f>
        <v>hr</v>
      </c>
      <c r="O24" t="str">
        <f>IF(COUNTIF('outliers per techniques &amp; human'!N$3:N$25,'outliers per techniques &amp; human'!V25),'outliers per techniques &amp; human'!V25,"")</f>
        <v/>
      </c>
      <c r="P24" t="str">
        <f>IF(COUNTIF('outliers per techniques &amp; human'!O$3:O$368,'outliers per techniques &amp; human'!V25),'outliers per techniques &amp; human'!V25,"")</f>
        <v/>
      </c>
    </row>
    <row r="25" spans="2:16" x14ac:dyDescent="0.25">
      <c r="B25" s="4" t="str">
        <f>IF(COUNTIF('outliers per techniques &amp; human'!A$3:A$28,'outliers per techniques &amp; human'!$V26),'outliers per techniques &amp; human'!$V26,"")</f>
        <v/>
      </c>
      <c r="C25" t="str">
        <f>IF(COUNTIF('outliers per techniques &amp; human'!B$3:B$28,'outliers per techniques &amp; human'!V26),'outliers per techniques &amp; human'!V26,"")</f>
        <v/>
      </c>
      <c r="D25" t="str">
        <f>IF(COUNTIF('outliers per techniques &amp; human'!C$3:C$38,'outliers per techniques &amp; human'!V26),'outliers per techniques &amp; human'!V26,"")</f>
        <v/>
      </c>
      <c r="E25" t="str">
        <f>IF(COUNTIF('outliers per techniques &amp; human'!D$3:D$38,'outliers per techniques &amp; human'!V26),'outliers per techniques &amp; human'!V26,"")</f>
        <v/>
      </c>
      <c r="F25" t="str">
        <f>IF(COUNTIF('outliers per techniques &amp; human'!E$3:E$24,'outliers per techniques &amp; human'!V26),'outliers per techniques &amp; human'!V26,"")</f>
        <v/>
      </c>
      <c r="G25" t="str">
        <f>IF(COUNTIF('outliers per techniques &amp; human'!F$3:F$24,'outliers per techniques &amp; human'!V26),'outliers per techniques &amp; human'!V26,"")</f>
        <v/>
      </c>
      <c r="H25" t="str">
        <f>IF(COUNTIF('outliers per techniques &amp; human'!G$3:G$42,'outliers per techniques &amp; human'!V26),'outliers per techniques &amp; human'!V26,"")</f>
        <v/>
      </c>
      <c r="I25" t="str">
        <f>IF(COUNTIF('outliers per techniques &amp; human'!H$3:H$42,'outliers per techniques &amp; human'!V26),'outliers per techniques &amp; human'!V26,"")</f>
        <v/>
      </c>
      <c r="J25" t="str">
        <f>IF(COUNTIF('outliers per techniques &amp; human'!I$3:I$21,'outliers per techniques &amp; human'!V26),'outliers per techniques &amp; human'!V26,"")</f>
        <v/>
      </c>
      <c r="K25" t="str">
        <f>IF(COUNTIF('outliers per techniques &amp; human'!J$3:J$47,'outliers per techniques &amp; human'!V26),'outliers per techniques &amp; human'!V26,"")</f>
        <v/>
      </c>
      <c r="L25" t="str">
        <f>IF(COUNTIF('outliers per techniques &amp; human'!K$3:K$78,'outliers per techniques &amp; human'!V26),'outliers per techniques &amp; human'!V26,"")</f>
        <v/>
      </c>
      <c r="M25" t="str">
        <f>IF(COUNTIF('outliers per techniques &amp; human'!L$3:L$17,'outliers per techniques &amp; human'!V26),'outliers per techniques &amp; human'!V26,"")</f>
        <v/>
      </c>
      <c r="N25" t="str">
        <f>IF(COUNTIF('outliers per techniques &amp; human'!M$3:M$200,'outliers per techniques &amp; human'!V26),'outliers per techniques &amp; human'!V26,"")</f>
        <v>if</v>
      </c>
      <c r="O25" t="str">
        <f>IF(COUNTIF('outliers per techniques &amp; human'!N$3:N$25,'outliers per techniques &amp; human'!V26),'outliers per techniques &amp; human'!V26,"")</f>
        <v/>
      </c>
      <c r="P25" t="str">
        <f>IF(COUNTIF('outliers per techniques &amp; human'!O$3:O$368,'outliers per techniques &amp; human'!V26),'outliers per techniques &amp; human'!V26,"")</f>
        <v/>
      </c>
    </row>
    <row r="26" spans="2:16" x14ac:dyDescent="0.25">
      <c r="B26" s="4" t="str">
        <f>IF(COUNTIF('outliers per techniques &amp; human'!A$3:A$28,'outliers per techniques &amp; human'!$V27),'outliers per techniques &amp; human'!$V27,"")</f>
        <v/>
      </c>
      <c r="C26" t="str">
        <f>IF(COUNTIF('outliers per techniques &amp; human'!B$3:B$28,'outliers per techniques &amp; human'!V27),'outliers per techniques &amp; human'!V27,"")</f>
        <v/>
      </c>
      <c r="D26" t="str">
        <f>IF(COUNTIF('outliers per techniques &amp; human'!C$3:C$38,'outliers per techniques &amp; human'!V27),'outliers per techniques &amp; human'!V27,"")</f>
        <v/>
      </c>
      <c r="E26" t="str">
        <f>IF(COUNTIF('outliers per techniques &amp; human'!D$3:D$38,'outliers per techniques &amp; human'!V27),'outliers per techniques &amp; human'!V27,"")</f>
        <v/>
      </c>
      <c r="F26" t="str">
        <f>IF(COUNTIF('outliers per techniques &amp; human'!E$3:E$24,'outliers per techniques &amp; human'!V27),'outliers per techniques &amp; human'!V27,"")</f>
        <v/>
      </c>
      <c r="G26" t="str">
        <f>IF(COUNTIF('outliers per techniques &amp; human'!F$3:F$24,'outliers per techniques &amp; human'!V27),'outliers per techniques &amp; human'!V27,"")</f>
        <v/>
      </c>
      <c r="H26" t="str">
        <f>IF(COUNTIF('outliers per techniques &amp; human'!G$3:G$42,'outliers per techniques &amp; human'!V27),'outliers per techniques &amp; human'!V27,"")</f>
        <v/>
      </c>
      <c r="I26" t="str">
        <f>IF(COUNTIF('outliers per techniques &amp; human'!H$3:H$42,'outliers per techniques &amp; human'!V27),'outliers per techniques &amp; human'!V27,"")</f>
        <v/>
      </c>
      <c r="J26" t="str">
        <f>IF(COUNTIF('outliers per techniques &amp; human'!I$3:I$21,'outliers per techniques &amp; human'!V27),'outliers per techniques &amp; human'!V27,"")</f>
        <v/>
      </c>
      <c r="K26" t="str">
        <f>IF(COUNTIF('outliers per techniques &amp; human'!J$3:J$47,'outliers per techniques &amp; human'!V27),'outliers per techniques &amp; human'!V27,"")</f>
        <v/>
      </c>
      <c r="L26" t="str">
        <f>IF(COUNTIF('outliers per techniques &amp; human'!K$3:K$78,'outliers per techniques &amp; human'!V27),'outliers per techniques &amp; human'!V27,"")</f>
        <v/>
      </c>
      <c r="M26" t="str">
        <f>IF(COUNTIF('outliers per techniques &amp; human'!L$3:L$17,'outliers per techniques &amp; human'!V27),'outliers per techniques &amp; human'!V27,"")</f>
        <v/>
      </c>
      <c r="N26" t="str">
        <f>IF(COUNTIF('outliers per techniques &amp; human'!M$3:M$200,'outliers per techniques &amp; human'!V27),'outliers per techniques &amp; human'!V27,"")</f>
        <v/>
      </c>
      <c r="O26" t="str">
        <f>IF(COUNTIF('outliers per techniques &amp; human'!N$3:N$25,'outliers per techniques &amp; human'!V27),'outliers per techniques &amp; human'!V27,"")</f>
        <v/>
      </c>
      <c r="P26" t="str">
        <f>IF(COUNTIF('outliers per techniques &amp; human'!O$3:O$368,'outliers per techniques &amp; human'!V27),'outliers per techniques &amp; human'!V27,"")</f>
        <v>ni</v>
      </c>
    </row>
    <row r="27" spans="2:16" x14ac:dyDescent="0.25">
      <c r="B27" s="4" t="str">
        <f>IF(COUNTIF('outliers per techniques &amp; human'!A$3:A$28,'outliers per techniques &amp; human'!$V28),'outliers per techniques &amp; human'!$V28,"")</f>
        <v/>
      </c>
      <c r="C27" t="str">
        <f>IF(COUNTIF('outliers per techniques &amp; human'!B$3:B$28,'outliers per techniques &amp; human'!V28),'outliers per techniques &amp; human'!V28,"")</f>
        <v/>
      </c>
      <c r="D27" t="str">
        <f>IF(COUNTIF('outliers per techniques &amp; human'!C$3:C$38,'outliers per techniques &amp; human'!V28),'outliers per techniques &amp; human'!V28,"")</f>
        <v/>
      </c>
      <c r="E27" t="str">
        <f>IF(COUNTIF('outliers per techniques &amp; human'!D$3:D$38,'outliers per techniques &amp; human'!V28),'outliers per techniques &amp; human'!V28,"")</f>
        <v/>
      </c>
      <c r="F27" t="str">
        <f>IF(COUNTIF('outliers per techniques &amp; human'!E$3:E$24,'outliers per techniques &amp; human'!V28),'outliers per techniques &amp; human'!V28,"")</f>
        <v/>
      </c>
      <c r="G27" t="str">
        <f>IF(COUNTIF('outliers per techniques &amp; human'!F$3:F$24,'outliers per techniques &amp; human'!V28),'outliers per techniques &amp; human'!V28,"")</f>
        <v/>
      </c>
      <c r="H27" t="str">
        <f>IF(COUNTIF('outliers per techniques &amp; human'!G$3:G$42,'outliers per techniques &amp; human'!V28),'outliers per techniques &amp; human'!V28,"")</f>
        <v/>
      </c>
      <c r="I27" t="str">
        <f>IF(COUNTIF('outliers per techniques &amp; human'!H$3:H$42,'outliers per techniques &amp; human'!V28),'outliers per techniques &amp; human'!V28,"")</f>
        <v/>
      </c>
      <c r="J27" t="str">
        <f>IF(COUNTIF('outliers per techniques &amp; human'!I$3:I$21,'outliers per techniques &amp; human'!V28),'outliers per techniques &amp; human'!V28,"")</f>
        <v/>
      </c>
      <c r="K27" t="str">
        <f>IF(COUNTIF('outliers per techniques &amp; human'!J$3:J$47,'outliers per techniques &amp; human'!V28),'outliers per techniques &amp; human'!V28,"")</f>
        <v/>
      </c>
      <c r="L27" t="str">
        <f>IF(COUNTIF('outliers per techniques &amp; human'!K$3:K$78,'outliers per techniques &amp; human'!V28),'outliers per techniques &amp; human'!V28,"")</f>
        <v/>
      </c>
      <c r="M27" t="str">
        <f>IF(COUNTIF('outliers per techniques &amp; human'!L$3:L$17,'outliers per techniques &amp; human'!V28),'outliers per techniques &amp; human'!V28,"")</f>
        <v/>
      </c>
      <c r="N27" t="str">
        <f>IF(COUNTIF('outliers per techniques &amp; human'!M$3:M$200,'outliers per techniques &amp; human'!V28),'outliers per techniques &amp; human'!V28,"")</f>
        <v>nt</v>
      </c>
      <c r="O27" t="str">
        <f>IF(COUNTIF('outliers per techniques &amp; human'!N$3:N$25,'outliers per techniques &amp; human'!V28),'outliers per techniques &amp; human'!V28,"")</f>
        <v/>
      </c>
      <c r="P27" t="str">
        <f>IF(COUNTIF('outliers per techniques &amp; human'!O$3:O$368,'outliers per techniques &amp; human'!V28),'outliers per techniques &amp; human'!V28,"")</f>
        <v/>
      </c>
    </row>
    <row r="28" spans="2:16" x14ac:dyDescent="0.25">
      <c r="B28" s="4" t="str">
        <f>IF(COUNTIF('outliers per techniques &amp; human'!A$3:A$28,'outliers per techniques &amp; human'!$V29),'outliers per techniques &amp; human'!$V29,"")</f>
        <v/>
      </c>
      <c r="C28" t="str">
        <f>IF(COUNTIF('outliers per techniques &amp; human'!B$3:B$28,'outliers per techniques &amp; human'!V29),'outliers per techniques &amp; human'!V29,"")</f>
        <v/>
      </c>
      <c r="D28" t="str">
        <f>IF(COUNTIF('outliers per techniques &amp; human'!C$3:C$38,'outliers per techniques &amp; human'!V29),'outliers per techniques &amp; human'!V29,"")</f>
        <v/>
      </c>
      <c r="E28" t="str">
        <f>IF(COUNTIF('outliers per techniques &amp; human'!D$3:D$38,'outliers per techniques &amp; human'!V29),'outliers per techniques &amp; human'!V29,"")</f>
        <v/>
      </c>
      <c r="F28" t="str">
        <f>IF(COUNTIF('outliers per techniques &amp; human'!E$3:E$24,'outliers per techniques &amp; human'!V29),'outliers per techniques &amp; human'!V29,"")</f>
        <v/>
      </c>
      <c r="G28" t="str">
        <f>IF(COUNTIF('outliers per techniques &amp; human'!F$3:F$24,'outliers per techniques &amp; human'!V29),'outliers per techniques &amp; human'!V29,"")</f>
        <v/>
      </c>
      <c r="H28" t="str">
        <f>IF(COUNTIF('outliers per techniques &amp; human'!G$3:G$42,'outliers per techniques &amp; human'!V29),'outliers per techniques &amp; human'!V29,"")</f>
        <v/>
      </c>
      <c r="I28" t="str">
        <f>IF(COUNTIF('outliers per techniques &amp; human'!H$3:H$42,'outliers per techniques &amp; human'!V29),'outliers per techniques &amp; human'!V29,"")</f>
        <v/>
      </c>
      <c r="J28" t="str">
        <f>IF(COUNTIF('outliers per techniques &amp; human'!I$3:I$21,'outliers per techniques &amp; human'!V29),'outliers per techniques &amp; human'!V29,"")</f>
        <v/>
      </c>
      <c r="K28" t="str">
        <f>IF(COUNTIF('outliers per techniques &amp; human'!J$3:J$47,'outliers per techniques &amp; human'!V29),'outliers per techniques &amp; human'!V29,"")</f>
        <v/>
      </c>
      <c r="L28" t="str">
        <f>IF(COUNTIF('outliers per techniques &amp; human'!K$3:K$78,'outliers per techniques &amp; human'!V29),'outliers per techniques &amp; human'!V29,"")</f>
        <v/>
      </c>
      <c r="M28" t="str">
        <f>IF(COUNTIF('outliers per techniques &amp; human'!L$3:L$17,'outliers per techniques &amp; human'!V29),'outliers per techniques &amp; human'!V29,"")</f>
        <v/>
      </c>
      <c r="N28" t="str">
        <f>IF(COUNTIF('outliers per techniques &amp; human'!M$3:M$200,'outliers per techniques &amp; human'!V29),'outliers per techniques &amp; human'!V29,"")</f>
        <v/>
      </c>
      <c r="O28" t="str">
        <f>IF(COUNTIF('outliers per techniques &amp; human'!N$3:N$25,'outliers per techniques &amp; human'!V29),'outliers per techniques &amp; human'!V29,"")</f>
        <v/>
      </c>
      <c r="P28" t="str">
        <f>IF(COUNTIF('outliers per techniques &amp; human'!O$3:O$368,'outliers per techniques &amp; human'!V29),'outliers per techniques &amp; human'!V29,"")</f>
        <v>sa</v>
      </c>
    </row>
    <row r="29" spans="2:16" x14ac:dyDescent="0.25">
      <c r="B29" s="4" t="str">
        <f>IF(COUNTIF('outliers per techniques &amp; human'!A$3:A$28,'outliers per techniques &amp; human'!$V30),'outliers per techniques &amp; human'!$V30,"")</f>
        <v/>
      </c>
      <c r="C29" t="str">
        <f>IF(COUNTIF('outliers per techniques &amp; human'!B$3:B$28,'outliers per techniques &amp; human'!V30),'outliers per techniques &amp; human'!V30,"")</f>
        <v/>
      </c>
      <c r="D29" t="str">
        <f>IF(COUNTIF('outliers per techniques &amp; human'!C$3:C$38,'outliers per techniques &amp; human'!V30),'outliers per techniques &amp; human'!V30,"")</f>
        <v/>
      </c>
      <c r="E29" t="str">
        <f>IF(COUNTIF('outliers per techniques &amp; human'!D$3:D$38,'outliers per techniques &amp; human'!V30),'outliers per techniques &amp; human'!V30,"")</f>
        <v/>
      </c>
      <c r="F29" t="str">
        <f>IF(COUNTIF('outliers per techniques &amp; human'!E$3:E$24,'outliers per techniques &amp; human'!V30),'outliers per techniques &amp; human'!V30,"")</f>
        <v/>
      </c>
      <c r="G29" t="str">
        <f>IF(COUNTIF('outliers per techniques &amp; human'!F$3:F$24,'outliers per techniques &amp; human'!V30),'outliers per techniques &amp; human'!V30,"")</f>
        <v/>
      </c>
      <c r="H29" t="str">
        <f>IF(COUNTIF('outliers per techniques &amp; human'!G$3:G$42,'outliers per techniques &amp; human'!V30),'outliers per techniques &amp; human'!V30,"")</f>
        <v/>
      </c>
      <c r="I29" t="str">
        <f>IF(COUNTIF('outliers per techniques &amp; human'!H$3:H$42,'outliers per techniques &amp; human'!V30),'outliers per techniques &amp; human'!V30,"")</f>
        <v/>
      </c>
      <c r="J29" t="str">
        <f>IF(COUNTIF('outliers per techniques &amp; human'!I$3:I$21,'outliers per techniques &amp; human'!V30),'outliers per techniques &amp; human'!V30,"")</f>
        <v/>
      </c>
      <c r="K29" t="str">
        <f>IF(COUNTIF('outliers per techniques &amp; human'!J$3:J$47,'outliers per techniques &amp; human'!V30),'outliers per techniques &amp; human'!V30,"")</f>
        <v/>
      </c>
      <c r="L29" t="str">
        <f>IF(COUNTIF('outliers per techniques &amp; human'!K$3:K$78,'outliers per techniques &amp; human'!V30),'outliers per techniques &amp; human'!V30,"")</f>
        <v/>
      </c>
      <c r="M29" t="str">
        <f>IF(COUNTIF('outliers per techniques &amp; human'!L$3:L$17,'outliers per techniques &amp; human'!V30),'outliers per techniques &amp; human'!V30,"")</f>
        <v/>
      </c>
      <c r="N29" t="str">
        <f>IF(COUNTIF('outliers per techniques &amp; human'!M$3:M$200,'outliers per techniques &amp; human'!V30),'outliers per techniques &amp; human'!V30,"")</f>
        <v/>
      </c>
      <c r="O29" t="str">
        <f>IF(COUNTIF('outliers per techniques &amp; human'!N$3:N$25,'outliers per techniques &amp; human'!V30),'outliers per techniques &amp; human'!V30,"")</f>
        <v>ti</v>
      </c>
      <c r="P29" t="str">
        <f>IF(COUNTIF('outliers per techniques &amp; human'!O$3:O$368,'outliers per techniques &amp; human'!V30),'outliers per techniques &amp; human'!V30,"")</f>
        <v/>
      </c>
    </row>
    <row r="30" spans="2:16" x14ac:dyDescent="0.25">
      <c r="B30" s="4" t="str">
        <f>IF(COUNTIF('outliers per techniques &amp; human'!A$3:A$28,'outliers per techniques &amp; human'!$V31),'outliers per techniques &amp; human'!$V31,"")</f>
        <v/>
      </c>
      <c r="C30" t="str">
        <f>IF(COUNTIF('outliers per techniques &amp; human'!B$3:B$28,'outliers per techniques &amp; human'!V31),'outliers per techniques &amp; human'!V31,"")</f>
        <v/>
      </c>
      <c r="D30" t="str">
        <f>IF(COUNTIF('outliers per techniques &amp; human'!C$3:C$38,'outliers per techniques &amp; human'!V31),'outliers per techniques &amp; human'!V31,"")</f>
        <v/>
      </c>
      <c r="E30" t="str">
        <f>IF(COUNTIF('outliers per techniques &amp; human'!D$3:D$38,'outliers per techniques &amp; human'!V31),'outliers per techniques &amp; human'!V31,"")</f>
        <v/>
      </c>
      <c r="F30" t="str">
        <f>IF(COUNTIF('outliers per techniques &amp; human'!E$3:E$24,'outliers per techniques &amp; human'!V31),'outliers per techniques &amp; human'!V31,"")</f>
        <v/>
      </c>
      <c r="G30" t="str">
        <f>IF(COUNTIF('outliers per techniques &amp; human'!F$3:F$24,'outliers per techniques &amp; human'!V31),'outliers per techniques &amp; human'!V31,"")</f>
        <v/>
      </c>
      <c r="H30" t="str">
        <f>IF(COUNTIF('outliers per techniques &amp; human'!G$3:G$42,'outliers per techniques &amp; human'!V31),'outliers per techniques &amp; human'!V31,"")</f>
        <v/>
      </c>
      <c r="I30" t="str">
        <f>IF(COUNTIF('outliers per techniques &amp; human'!H$3:H$42,'outliers per techniques &amp; human'!V31),'outliers per techniques &amp; human'!V31,"")</f>
        <v/>
      </c>
      <c r="J30" t="str">
        <f>IF(COUNTIF('outliers per techniques &amp; human'!I$3:I$21,'outliers per techniques &amp; human'!V31),'outliers per techniques &amp; human'!V31,"")</f>
        <v/>
      </c>
      <c r="K30" t="str">
        <f>IF(COUNTIF('outliers per techniques &amp; human'!J$3:J$47,'outliers per techniques &amp; human'!V31),'outliers per techniques &amp; human'!V31,"")</f>
        <v/>
      </c>
      <c r="L30" t="str">
        <f>IF(COUNTIF('outliers per techniques &amp; human'!K$3:K$78,'outliers per techniques &amp; human'!V31),'outliers per techniques &amp; human'!V31,"")</f>
        <v/>
      </c>
      <c r="M30" t="str">
        <f>IF(COUNTIF('outliers per techniques &amp; human'!L$3:L$17,'outliers per techniques &amp; human'!V31),'outliers per techniques &amp; human'!V31,"")</f>
        <v/>
      </c>
      <c r="N30" t="str">
        <f>IF(COUNTIF('outliers per techniques &amp; human'!M$3:M$200,'outliers per techniques &amp; human'!V31),'outliers per techniques &amp; human'!V31,"")</f>
        <v/>
      </c>
      <c r="O30" t="str">
        <f>IF(COUNTIF('outliers per techniques &amp; human'!N$3:N$25,'outliers per techniques &amp; human'!V31),'outliers per techniques &amp; human'!V31,"")</f>
        <v/>
      </c>
      <c r="P30" t="str">
        <f>IF(COUNTIF('outliers per techniques &amp; human'!O$3:O$368,'outliers per techniques &amp; human'!V31),'outliers per techniques &amp; human'!V31,"")</f>
        <v>schumpeter</v>
      </c>
    </row>
    <row r="31" spans="2:16" x14ac:dyDescent="0.25">
      <c r="B31" s="4" t="str">
        <f>IF(COUNTIF('outliers per techniques &amp; human'!A$3:A$28,'outliers per techniques &amp; human'!$V32),'outliers per techniques &amp; human'!$V32,"")</f>
        <v/>
      </c>
      <c r="C31" t="str">
        <f>IF(COUNTIF('outliers per techniques &amp; human'!B$3:B$28,'outliers per techniques &amp; human'!V32),'outliers per techniques &amp; human'!V32,"")</f>
        <v/>
      </c>
      <c r="D31" t="str">
        <f>IF(COUNTIF('outliers per techniques &amp; human'!C$3:C$38,'outliers per techniques &amp; human'!V32),'outliers per techniques &amp; human'!V32,"")</f>
        <v/>
      </c>
      <c r="E31" t="str">
        <f>IF(COUNTIF('outliers per techniques &amp; human'!D$3:D$38,'outliers per techniques &amp; human'!V32),'outliers per techniques &amp; human'!V32,"")</f>
        <v/>
      </c>
      <c r="F31" t="str">
        <f>IF(COUNTIF('outliers per techniques &amp; human'!E$3:E$24,'outliers per techniques &amp; human'!V32),'outliers per techniques &amp; human'!V32,"")</f>
        <v/>
      </c>
      <c r="G31" t="str">
        <f>IF(COUNTIF('outliers per techniques &amp; human'!F$3:F$24,'outliers per techniques &amp; human'!V32),'outliers per techniques &amp; human'!V32,"")</f>
        <v/>
      </c>
      <c r="H31" t="str">
        <f>IF(COUNTIF('outliers per techniques &amp; human'!G$3:G$42,'outliers per techniques &amp; human'!V32),'outliers per techniques &amp; human'!V32,"")</f>
        <v/>
      </c>
      <c r="I31" t="str">
        <f>IF(COUNTIF('outliers per techniques &amp; human'!H$3:H$42,'outliers per techniques &amp; human'!V32),'outliers per techniques &amp; human'!V32,"")</f>
        <v/>
      </c>
      <c r="J31" t="str">
        <f>IF(COUNTIF('outliers per techniques &amp; human'!I$3:I$21,'outliers per techniques &amp; human'!V32),'outliers per techniques &amp; human'!V32,"")</f>
        <v/>
      </c>
      <c r="K31" t="str">
        <f>IF(COUNTIF('outliers per techniques &amp; human'!J$3:J$47,'outliers per techniques &amp; human'!V32),'outliers per techniques &amp; human'!V32,"")</f>
        <v/>
      </c>
      <c r="L31" t="str">
        <f>IF(COUNTIF('outliers per techniques &amp; human'!K$3:K$78,'outliers per techniques &amp; human'!V32),'outliers per techniques &amp; human'!V32,"")</f>
        <v/>
      </c>
      <c r="M31" t="str">
        <f>IF(COUNTIF('outliers per techniques &amp; human'!L$3:L$17,'outliers per techniques &amp; human'!V32),'outliers per techniques &amp; human'!V32,"")</f>
        <v/>
      </c>
      <c r="N31" t="str">
        <f>IF(COUNTIF('outliers per techniques &amp; human'!M$3:M$200,'outliers per techniques &amp; human'!V32),'outliers per techniques &amp; human'!V32,"")</f>
        <v/>
      </c>
      <c r="O31" t="str">
        <f>IF(COUNTIF('outliers per techniques &amp; human'!N$3:N$25,'outliers per techniques &amp; human'!V32),'outliers per techniques &amp; human'!V32,"")</f>
        <v/>
      </c>
      <c r="P31" t="str">
        <f>IF(COUNTIF('outliers per techniques &amp; human'!O$3:O$368,'outliers per techniques &amp; human'!V32),'outliers per techniques &amp; human'!V32,"")</f>
        <v>organisationssoziologie</v>
      </c>
    </row>
    <row r="32" spans="2:16" x14ac:dyDescent="0.25">
      <c r="B32" s="4" t="str">
        <f>IF(COUNTIF('outliers per techniques &amp; human'!A$3:A$28,'outliers per techniques &amp; human'!$V33),'outliers per techniques &amp; human'!$V33,"")</f>
        <v/>
      </c>
      <c r="C32" t="str">
        <f>IF(COUNTIF('outliers per techniques &amp; human'!B$3:B$28,'outliers per techniques &amp; human'!V33),'outliers per techniques &amp; human'!V33,"")</f>
        <v/>
      </c>
      <c r="D32" t="str">
        <f>IF(COUNTIF('outliers per techniques &amp; human'!C$3:C$38,'outliers per techniques &amp; human'!V33),'outliers per techniques &amp; human'!V33,"")</f>
        <v/>
      </c>
      <c r="E32" t="str">
        <f>IF(COUNTIF('outliers per techniques &amp; human'!D$3:D$38,'outliers per techniques &amp; human'!V33),'outliers per techniques &amp; human'!V33,"")</f>
        <v/>
      </c>
      <c r="F32" t="str">
        <f>IF(COUNTIF('outliers per techniques &amp; human'!E$3:E$24,'outliers per techniques &amp; human'!V33),'outliers per techniques &amp; human'!V33,"")</f>
        <v/>
      </c>
      <c r="G32" t="str">
        <f>IF(COUNTIF('outliers per techniques &amp; human'!F$3:F$24,'outliers per techniques &amp; human'!V33),'outliers per techniques &amp; human'!V33,"")</f>
        <v/>
      </c>
      <c r="H32" t="str">
        <f>IF(COUNTIF('outliers per techniques &amp; human'!G$3:G$42,'outliers per techniques &amp; human'!V33),'outliers per techniques &amp; human'!V33,"")</f>
        <v/>
      </c>
      <c r="I32" t="str">
        <f>IF(COUNTIF('outliers per techniques &amp; human'!H$3:H$42,'outliers per techniques &amp; human'!V33),'outliers per techniques &amp; human'!V33,"")</f>
        <v/>
      </c>
      <c r="J32" t="str">
        <f>IF(COUNTIF('outliers per techniques &amp; human'!I$3:I$21,'outliers per techniques &amp; human'!V33),'outliers per techniques &amp; human'!V33,"")</f>
        <v/>
      </c>
      <c r="K32" t="str">
        <f>IF(COUNTIF('outliers per techniques &amp; human'!J$3:J$47,'outliers per techniques &amp; human'!V33),'outliers per techniques &amp; human'!V33,"")</f>
        <v/>
      </c>
      <c r="L32" t="str">
        <f>IF(COUNTIF('outliers per techniques &amp; human'!K$3:K$78,'outliers per techniques &amp; human'!V33),'outliers per techniques &amp; human'!V33,"")</f>
        <v/>
      </c>
      <c r="M32" t="str">
        <f>IF(COUNTIF('outliers per techniques &amp; human'!L$3:L$17,'outliers per techniques &amp; human'!V33),'outliers per techniques &amp; human'!V33,"")</f>
        <v/>
      </c>
      <c r="N32" t="str">
        <f>IF(COUNTIF('outliers per techniques &amp; human'!M$3:M$200,'outliers per techniques &amp; human'!V33),'outliers per techniques &amp; human'!V33,"")</f>
        <v/>
      </c>
      <c r="O32" t="str">
        <f>IF(COUNTIF('outliers per techniques &amp; human'!N$3:N$25,'outliers per techniques &amp; human'!V33),'outliers per techniques &amp; human'!V33,"")</f>
        <v/>
      </c>
      <c r="P32" t="str">
        <f>IF(COUNTIF('outliers per techniques &amp; human'!O$3:O$368,'outliers per techniques &amp; human'!V33),'outliers per techniques &amp; human'!V33,"")</f>
        <v>religionssoziologie</v>
      </c>
    </row>
    <row r="33" spans="2:16" x14ac:dyDescent="0.25">
      <c r="B33" s="4" t="str">
        <f>IF(COUNTIF('outliers per techniques &amp; human'!A$3:A$28,'outliers per techniques &amp; human'!$V34),'outliers per techniques &amp; human'!$V34,"")</f>
        <v/>
      </c>
      <c r="C33" t="str">
        <f>IF(COUNTIF('outliers per techniques &amp; human'!B$3:B$28,'outliers per techniques &amp; human'!V34),'outliers per techniques &amp; human'!V34,"")</f>
        <v/>
      </c>
      <c r="D33" t="str">
        <f>IF(COUNTIF('outliers per techniques &amp; human'!C$3:C$38,'outliers per techniques &amp; human'!V34),'outliers per techniques &amp; human'!V34,"")</f>
        <v/>
      </c>
      <c r="E33" t="str">
        <f>IF(COUNTIF('outliers per techniques &amp; human'!D$3:D$38,'outliers per techniques &amp; human'!V34),'outliers per techniques &amp; human'!V34,"")</f>
        <v/>
      </c>
      <c r="F33" t="str">
        <f>IF(COUNTIF('outliers per techniques &amp; human'!E$3:E$24,'outliers per techniques &amp; human'!V34),'outliers per techniques &amp; human'!V34,"")</f>
        <v/>
      </c>
      <c r="G33" t="str">
        <f>IF(COUNTIF('outliers per techniques &amp; human'!F$3:F$24,'outliers per techniques &amp; human'!V34),'outliers per techniques &amp; human'!V34,"")</f>
        <v/>
      </c>
      <c r="H33" t="str">
        <f>IF(COUNTIF('outliers per techniques &amp; human'!G$3:G$42,'outliers per techniques &amp; human'!V34),'outliers per techniques &amp; human'!V34,"")</f>
        <v/>
      </c>
      <c r="I33" t="str">
        <f>IF(COUNTIF('outliers per techniques &amp; human'!H$3:H$42,'outliers per techniques &amp; human'!V34),'outliers per techniques &amp; human'!V34,"")</f>
        <v/>
      </c>
      <c r="J33" t="str">
        <f>IF(COUNTIF('outliers per techniques &amp; human'!I$3:I$21,'outliers per techniques &amp; human'!V34),'outliers per techniques &amp; human'!V34,"")</f>
        <v/>
      </c>
      <c r="K33" t="str">
        <f>IF(COUNTIF('outliers per techniques &amp; human'!J$3:J$47,'outliers per techniques &amp; human'!V34),'outliers per techniques &amp; human'!V34,"")</f>
        <v/>
      </c>
      <c r="L33" t="str">
        <f>IF(COUNTIF('outliers per techniques &amp; human'!K$3:K$78,'outliers per techniques &amp; human'!V34),'outliers per techniques &amp; human'!V34,"")</f>
        <v/>
      </c>
      <c r="M33" t="str">
        <f>IF(COUNTIF('outliers per techniques &amp; human'!L$3:L$17,'outliers per techniques &amp; human'!V34),'outliers per techniques &amp; human'!V34,"")</f>
        <v/>
      </c>
      <c r="N33" t="str">
        <f>IF(COUNTIF('outliers per techniques &amp; human'!M$3:M$200,'outliers per techniques &amp; human'!V34),'outliers per techniques &amp; human'!V34,"")</f>
        <v>queer</v>
      </c>
      <c r="O33" t="str">
        <f>IF(COUNTIF('outliers per techniques &amp; human'!N$3:N$25,'outliers per techniques &amp; human'!V34),'outliers per techniques &amp; human'!V34,"")</f>
        <v/>
      </c>
      <c r="P33" t="str">
        <f>IF(COUNTIF('outliers per techniques &amp; human'!O$3:O$368,'outliers per techniques &amp; human'!V34),'outliers per techniques &amp; human'!V34,"")</f>
        <v/>
      </c>
    </row>
    <row r="34" spans="2:16" x14ac:dyDescent="0.25">
      <c r="B34" s="4" t="str">
        <f>IF(COUNTIF('outliers per techniques &amp; human'!A$3:A$28,'outliers per techniques &amp; human'!$V35),'outliers per techniques &amp; human'!$V35,"")</f>
        <v/>
      </c>
      <c r="C34" t="str">
        <f>IF(COUNTIF('outliers per techniques &amp; human'!B$3:B$28,'outliers per techniques &amp; human'!V35),'outliers per techniques &amp; human'!V35,"")</f>
        <v/>
      </c>
      <c r="D34" t="str">
        <f>IF(COUNTIF('outliers per techniques &amp; human'!C$3:C$38,'outliers per techniques &amp; human'!V35),'outliers per techniques &amp; human'!V35,"")</f>
        <v/>
      </c>
      <c r="E34" t="str">
        <f>IF(COUNTIF('outliers per techniques &amp; human'!D$3:D$38,'outliers per techniques &amp; human'!V35),'outliers per techniques &amp; human'!V35,"")</f>
        <v/>
      </c>
      <c r="F34" t="str">
        <f>IF(COUNTIF('outliers per techniques &amp; human'!E$3:E$24,'outliers per techniques &amp; human'!V35),'outliers per techniques &amp; human'!V35,"")</f>
        <v/>
      </c>
      <c r="G34" t="str">
        <f>IF(COUNTIF('outliers per techniques &amp; human'!F$3:F$24,'outliers per techniques &amp; human'!V35),'outliers per techniques &amp; human'!V35,"")</f>
        <v/>
      </c>
      <c r="H34" t="str">
        <f>IF(COUNTIF('outliers per techniques &amp; human'!G$3:G$42,'outliers per techniques &amp; human'!V35),'outliers per techniques &amp; human'!V35,"")</f>
        <v/>
      </c>
      <c r="I34" t="str">
        <f>IF(COUNTIF('outliers per techniques &amp; human'!H$3:H$42,'outliers per techniques &amp; human'!V35),'outliers per techniques &amp; human'!V35,"")</f>
        <v/>
      </c>
      <c r="J34" t="str">
        <f>IF(COUNTIF('outliers per techniques &amp; human'!I$3:I$21,'outliers per techniques &amp; human'!V35),'outliers per techniques &amp; human'!V35,"")</f>
        <v>lang</v>
      </c>
      <c r="K34" t="str">
        <f>IF(COUNTIF('outliers per techniques &amp; human'!J$3:J$47,'outliers per techniques &amp; human'!V35),'outliers per techniques &amp; human'!V35,"")</f>
        <v>lang</v>
      </c>
      <c r="L34" t="str">
        <f>IF(COUNTIF('outliers per techniques &amp; human'!K$3:K$78,'outliers per techniques &amp; human'!V35),'outliers per techniques &amp; human'!V35,"")</f>
        <v>lang</v>
      </c>
      <c r="M34" t="str">
        <f>IF(COUNTIF('outliers per techniques &amp; human'!L$3:L$17,'outliers per techniques &amp; human'!V35),'outliers per techniques &amp; human'!V35,"")</f>
        <v>lang</v>
      </c>
      <c r="N34" t="str">
        <f>IF(COUNTIF('outliers per techniques &amp; human'!M$3:M$200,'outliers per techniques &amp; human'!V35),'outliers per techniques &amp; human'!V35,"")</f>
        <v>lang</v>
      </c>
      <c r="O34" t="str">
        <f>IF(COUNTIF('outliers per techniques &amp; human'!N$3:N$25,'outliers per techniques &amp; human'!V35),'outliers per techniques &amp; human'!V35,"")</f>
        <v/>
      </c>
      <c r="P34" t="str">
        <f>IF(COUNTIF('outliers per techniques &amp; human'!O$3:O$368,'outliers per techniques &amp; human'!V35),'outliers per techniques &amp; human'!V35,"")</f>
        <v/>
      </c>
    </row>
    <row r="35" spans="2:16" x14ac:dyDescent="0.25">
      <c r="B35" s="4" t="str">
        <f>IF(COUNTIF('outliers per techniques &amp; human'!A$3:A$28,'outliers per techniques &amp; human'!$V36),'outliers per techniques &amp; human'!$V36,"")</f>
        <v/>
      </c>
      <c r="C35" t="str">
        <f>IF(COUNTIF('outliers per techniques &amp; human'!B$3:B$28,'outliers per techniques &amp; human'!V36),'outliers per techniques &amp; human'!V36,"")</f>
        <v/>
      </c>
      <c r="D35" t="str">
        <f>IF(COUNTIF('outliers per techniques &amp; human'!C$3:C$38,'outliers per techniques &amp; human'!V36),'outliers per techniques &amp; human'!V36,"")</f>
        <v/>
      </c>
      <c r="E35" t="str">
        <f>IF(COUNTIF('outliers per techniques &amp; human'!D$3:D$38,'outliers per techniques &amp; human'!V36),'outliers per techniques &amp; human'!V36,"")</f>
        <v/>
      </c>
      <c r="F35" t="str">
        <f>IF(COUNTIF('outliers per techniques &amp; human'!E$3:E$24,'outliers per techniques &amp; human'!V36),'outliers per techniques &amp; human'!V36,"")</f>
        <v/>
      </c>
      <c r="G35" t="str">
        <f>IF(COUNTIF('outliers per techniques &amp; human'!F$3:F$24,'outliers per techniques &amp; human'!V36),'outliers per techniques &amp; human'!V36,"")</f>
        <v/>
      </c>
      <c r="H35" t="str">
        <f>IF(COUNTIF('outliers per techniques &amp; human'!G$3:G$42,'outliers per techniques &amp; human'!V36),'outliers per techniques &amp; human'!V36,"")</f>
        <v/>
      </c>
      <c r="I35" t="str">
        <f>IF(COUNTIF('outliers per techniques &amp; human'!H$3:H$42,'outliers per techniques &amp; human'!V36),'outliers per techniques &amp; human'!V36,"")</f>
        <v/>
      </c>
      <c r="J35" t="str">
        <f>IF(COUNTIF('outliers per techniques &amp; human'!I$3:I$21,'outliers per techniques &amp; human'!V36),'outliers per techniques &amp; human'!V36,"")</f>
        <v/>
      </c>
      <c r="K35" t="str">
        <f>IF(COUNTIF('outliers per techniques &amp; human'!J$3:J$47,'outliers per techniques &amp; human'!V36),'outliers per techniques &amp; human'!V36,"")</f>
        <v/>
      </c>
      <c r="L35" t="str">
        <f>IF(COUNTIF('outliers per techniques &amp; human'!K$3:K$78,'outliers per techniques &amp; human'!V36),'outliers per techniques &amp; human'!V36,"")</f>
        <v/>
      </c>
      <c r="M35" t="str">
        <f>IF(COUNTIF('outliers per techniques &amp; human'!L$3:L$17,'outliers per techniques &amp; human'!V36),'outliers per techniques &amp; human'!V36,"")</f>
        <v/>
      </c>
      <c r="N35" t="str">
        <f>IF(COUNTIF('outliers per techniques &amp; human'!M$3:M$200,'outliers per techniques &amp; human'!V36),'outliers per techniques &amp; human'!V36,"")</f>
        <v>junit</v>
      </c>
      <c r="O35" t="str">
        <f>IF(COUNTIF('outliers per techniques &amp; human'!N$3:N$25,'outliers per techniques &amp; human'!V36),'outliers per techniques &amp; human'!V36,"")</f>
        <v/>
      </c>
      <c r="P35" t="str">
        <f>IF(COUNTIF('outliers per techniques &amp; human'!O$3:O$368,'outliers per techniques &amp; human'!V36),'outliers per techniques &amp; human'!V36,"")</f>
        <v/>
      </c>
    </row>
    <row r="36" spans="2:16" x14ac:dyDescent="0.25">
      <c r="B36" s="4" t="str">
        <f>IF(COUNTIF('outliers per techniques &amp; human'!A$3:A$28,'outliers per techniques &amp; human'!$V37),'outliers per techniques &amp; human'!$V37,"")</f>
        <v/>
      </c>
      <c r="C36" t="str">
        <f>IF(COUNTIF('outliers per techniques &amp; human'!B$3:B$28,'outliers per techniques &amp; human'!V37),'outliers per techniques &amp; human'!V37,"")</f>
        <v/>
      </c>
      <c r="D36" t="str">
        <f>IF(COUNTIF('outliers per techniques &amp; human'!C$3:C$38,'outliers per techniques &amp; human'!V37),'outliers per techniques &amp; human'!V37,"")</f>
        <v/>
      </c>
      <c r="E36" t="str">
        <f>IF(COUNTIF('outliers per techniques &amp; human'!D$3:D$38,'outliers per techniques &amp; human'!V37),'outliers per techniques &amp; human'!V37,"")</f>
        <v/>
      </c>
      <c r="F36" t="str">
        <f>IF(COUNTIF('outliers per techniques &amp; human'!E$3:E$24,'outliers per techniques &amp; human'!V37),'outliers per techniques &amp; human'!V37,"")</f>
        <v/>
      </c>
      <c r="G36" t="str">
        <f>IF(COUNTIF('outliers per techniques &amp; human'!F$3:F$24,'outliers per techniques &amp; human'!V37),'outliers per techniques &amp; human'!V37,"")</f>
        <v/>
      </c>
      <c r="H36" t="str">
        <f>IF(COUNTIF('outliers per techniques &amp; human'!G$3:G$42,'outliers per techniques &amp; human'!V37),'outliers per techniques &amp; human'!V37,"")</f>
        <v/>
      </c>
      <c r="I36" t="str">
        <f>IF(COUNTIF('outliers per techniques &amp; human'!H$3:H$42,'outliers per techniques &amp; human'!V37),'outliers per techniques &amp; human'!V37,"")</f>
        <v/>
      </c>
      <c r="J36" t="str">
        <f>IF(COUNTIF('outliers per techniques &amp; human'!I$3:I$21,'outliers per techniques &amp; human'!V37),'outliers per techniques &amp; human'!V37,"")</f>
        <v/>
      </c>
      <c r="K36" t="str">
        <f>IF(COUNTIF('outliers per techniques &amp; human'!J$3:J$47,'outliers per techniques &amp; human'!V37),'outliers per techniques &amp; human'!V37,"")</f>
        <v/>
      </c>
      <c r="L36" t="str">
        <f>IF(COUNTIF('outliers per techniques &amp; human'!K$3:K$78,'outliers per techniques &amp; human'!V37),'outliers per techniques &amp; human'!V37,"")</f>
        <v/>
      </c>
      <c r="M36" t="str">
        <f>IF(COUNTIF('outliers per techniques &amp; human'!L$3:L$17,'outliers per techniques &amp; human'!V37),'outliers per techniques &amp; human'!V37,"")</f>
        <v/>
      </c>
      <c r="N36" t="str">
        <f>IF(COUNTIF('outliers per techniques &amp; human'!M$3:M$200,'outliers per techniques &amp; human'!V37),'outliers per techniques &amp; human'!V37,"")</f>
        <v>scglib</v>
      </c>
      <c r="O36" t="str">
        <f>IF(COUNTIF('outliers per techniques &amp; human'!N$3:N$25,'outliers per techniques &amp; human'!V37),'outliers per techniques &amp; human'!V37,"")</f>
        <v/>
      </c>
      <c r="P36" t="str">
        <f>IF(COUNTIF('outliers per techniques &amp; human'!O$3:O$368,'outliers per techniques &amp; human'!V37),'outliers per techniques &amp; human'!V37,"")</f>
        <v/>
      </c>
    </row>
    <row r="37" spans="2:16" x14ac:dyDescent="0.25">
      <c r="B37" s="4" t="str">
        <f>IF(COUNTIF('outliers per techniques &amp; human'!A$3:A$28,'outliers per techniques &amp; human'!$V38),'outliers per techniques &amp; human'!$V38,"")</f>
        <v/>
      </c>
      <c r="C37" t="str">
        <f>IF(COUNTIF('outliers per techniques &amp; human'!B$3:B$28,'outliers per techniques &amp; human'!V38),'outliers per techniques &amp; human'!V38,"")</f>
        <v/>
      </c>
      <c r="D37" t="str">
        <f>IF(COUNTIF('outliers per techniques &amp; human'!C$3:C$38,'outliers per techniques &amp; human'!V38),'outliers per techniques &amp; human'!V38,"")</f>
        <v/>
      </c>
      <c r="E37" t="str">
        <f>IF(COUNTIF('outliers per techniques &amp; human'!D$3:D$38,'outliers per techniques &amp; human'!V38),'outliers per techniques &amp; human'!V38,"")</f>
        <v/>
      </c>
      <c r="F37" t="str">
        <f>IF(COUNTIF('outliers per techniques &amp; human'!E$3:E$24,'outliers per techniques &amp; human'!V38),'outliers per techniques &amp; human'!V38,"")</f>
        <v/>
      </c>
      <c r="G37" t="str">
        <f>IF(COUNTIF('outliers per techniques &amp; human'!F$3:F$24,'outliers per techniques &amp; human'!V38),'outliers per techniques &amp; human'!V38,"")</f>
        <v/>
      </c>
      <c r="H37" t="str">
        <f>IF(COUNTIF('outliers per techniques &amp; human'!G$3:G$42,'outliers per techniques &amp; human'!V38),'outliers per techniques &amp; human'!V38,"")</f>
        <v/>
      </c>
      <c r="I37" t="str">
        <f>IF(COUNTIF('outliers per techniques &amp; human'!H$3:H$42,'outliers per techniques &amp; human'!V38),'outliers per techniques &amp; human'!V38,"")</f>
        <v/>
      </c>
      <c r="J37" t="str">
        <f>IF(COUNTIF('outliers per techniques &amp; human'!I$3:I$21,'outliers per techniques &amp; human'!V38),'outliers per techniques &amp; human'!V38,"")</f>
        <v/>
      </c>
      <c r="K37" t="str">
        <f>IF(COUNTIF('outliers per techniques &amp; human'!J$3:J$47,'outliers per techniques &amp; human'!V38),'outliers per techniques &amp; human'!V38,"")</f>
        <v/>
      </c>
      <c r="L37" t="str">
        <f>IF(COUNTIF('outliers per techniques &amp; human'!K$3:K$78,'outliers per techniques &amp; human'!V38),'outliers per techniques &amp; human'!V38,"")</f>
        <v/>
      </c>
      <c r="M37" t="str">
        <f>IF(COUNTIF('outliers per techniques &amp; human'!L$3:L$17,'outliers per techniques &amp; human'!V38),'outliers per techniques &amp; human'!V38,"")</f>
        <v/>
      </c>
      <c r="N37" t="str">
        <f>IF(COUNTIF('outliers per techniques &amp; human'!M$3:M$200,'outliers per techniques &amp; human'!V38),'outliers per techniques &amp; human'!V38,"")</f>
        <v>andragogik</v>
      </c>
      <c r="O37" t="str">
        <f>IF(COUNTIF('outliers per techniques &amp; human'!N$3:N$25,'outliers per techniques &amp; human'!V38),'outliers per techniques &amp; human'!V38,"")</f>
        <v>andragogik</v>
      </c>
      <c r="P37" t="str">
        <f>IF(COUNTIF('outliers per techniques &amp; human'!O$3:O$368,'outliers per techniques &amp; human'!V38),'outliers per techniques &amp; human'!V38,"")</f>
        <v>andragogik</v>
      </c>
    </row>
    <row r="38" spans="2:16" x14ac:dyDescent="0.25">
      <c r="B38" s="4" t="str">
        <f>IF(COUNTIF('outliers per techniques &amp; human'!A$3:A$28,'outliers per techniques &amp; human'!$V39),'outliers per techniques &amp; human'!$V39,"")</f>
        <v/>
      </c>
      <c r="C38" t="str">
        <f>IF(COUNTIF('outliers per techniques &amp; human'!B$3:B$28,'outliers per techniques &amp; human'!V39),'outliers per techniques &amp; human'!V39,"")</f>
        <v/>
      </c>
      <c r="D38" t="str">
        <f>IF(COUNTIF('outliers per techniques &amp; human'!C$3:C$38,'outliers per techniques &amp; human'!V39),'outliers per techniques &amp; human'!V39,"")</f>
        <v/>
      </c>
      <c r="E38" t="str">
        <f>IF(COUNTIF('outliers per techniques &amp; human'!D$3:D$38,'outliers per techniques &amp; human'!V39),'outliers per techniques &amp; human'!V39,"")</f>
        <v/>
      </c>
      <c r="F38" t="str">
        <f>IF(COUNTIF('outliers per techniques &amp; human'!E$3:E$24,'outliers per techniques &amp; human'!V39),'outliers per techniques &amp; human'!V39,"")</f>
        <v>institutionalismus</v>
      </c>
      <c r="G38" t="str">
        <f>IF(COUNTIF('outliers per techniques &amp; human'!F$3:F$24,'outliers per techniques &amp; human'!V39),'outliers per techniques &amp; human'!V39,"")</f>
        <v/>
      </c>
      <c r="H38" t="str">
        <f>IF(COUNTIF('outliers per techniques &amp; human'!G$3:G$42,'outliers per techniques &amp; human'!V39),'outliers per techniques &amp; human'!V39,"")</f>
        <v>institutionalismus</v>
      </c>
      <c r="I38" t="str">
        <f>IF(COUNTIF('outliers per techniques &amp; human'!H$3:H$42,'outliers per techniques &amp; human'!V39),'outliers per techniques &amp; human'!V39,"")</f>
        <v/>
      </c>
      <c r="J38" t="str">
        <f>IF(COUNTIF('outliers per techniques &amp; human'!I$3:I$21,'outliers per techniques &amp; human'!V39),'outliers per techniques &amp; human'!V39,"")</f>
        <v/>
      </c>
      <c r="K38" t="str">
        <f>IF(COUNTIF('outliers per techniques &amp; human'!J$3:J$47,'outliers per techniques &amp; human'!V39),'outliers per techniques &amp; human'!V39,"")</f>
        <v/>
      </c>
      <c r="L38" t="str">
        <f>IF(COUNTIF('outliers per techniques &amp; human'!K$3:K$78,'outliers per techniques &amp; human'!V39),'outliers per techniques &amp; human'!V39,"")</f>
        <v/>
      </c>
      <c r="M38" t="str">
        <f>IF(COUNTIF('outliers per techniques &amp; human'!L$3:L$17,'outliers per techniques &amp; human'!V39),'outliers per techniques &amp; human'!V39,"")</f>
        <v/>
      </c>
      <c r="N38" t="str">
        <f>IF(COUNTIF('outliers per techniques &amp; human'!M$3:M$200,'outliers per techniques &amp; human'!V39),'outliers per techniques &amp; human'!V39,"")</f>
        <v/>
      </c>
      <c r="O38" t="str">
        <f>IF(COUNTIF('outliers per techniques &amp; human'!N$3:N$25,'outliers per techniques &amp; human'!V39),'outliers per techniques &amp; human'!V39,"")</f>
        <v/>
      </c>
      <c r="P38" t="str">
        <f>IF(COUNTIF('outliers per techniques &amp; human'!O$3:O$368,'outliers per techniques &amp; human'!V39),'outliers per techniques &amp; human'!V39,"")</f>
        <v/>
      </c>
    </row>
    <row r="39" spans="2:16" x14ac:dyDescent="0.25">
      <c r="B39" s="4" t="str">
        <f>IF(COUNTIF('outliers per techniques &amp; human'!A$3:A$28,'outliers per techniques &amp; human'!$V40),'outliers per techniques &amp; human'!$V40,"")</f>
        <v/>
      </c>
      <c r="C39" t="str">
        <f>IF(COUNTIF('outliers per techniques &amp; human'!B$3:B$28,'outliers per techniques &amp; human'!V40),'outliers per techniques &amp; human'!V40,"")</f>
        <v/>
      </c>
      <c r="D39" t="str">
        <f>IF(COUNTIF('outliers per techniques &amp; human'!C$3:C$38,'outliers per techniques &amp; human'!V40),'outliers per techniques &amp; human'!V40,"")</f>
        <v/>
      </c>
      <c r="E39" t="str">
        <f>IF(COUNTIF('outliers per techniques &amp; human'!D$3:D$38,'outliers per techniques &amp; human'!V40),'outliers per techniques &amp; human'!V40,"")</f>
        <v/>
      </c>
      <c r="F39" t="str">
        <f>IF(COUNTIF('outliers per techniques &amp; human'!E$3:E$24,'outliers per techniques &amp; human'!V40),'outliers per techniques &amp; human'!V40,"")</f>
        <v/>
      </c>
      <c r="G39" t="str">
        <f>IF(COUNTIF('outliers per techniques &amp; human'!F$3:F$24,'outliers per techniques &amp; human'!V40),'outliers per techniques &amp; human'!V40,"")</f>
        <v/>
      </c>
      <c r="H39" t="str">
        <f>IF(COUNTIF('outliers per techniques &amp; human'!G$3:G$42,'outliers per techniques &amp; human'!V40),'outliers per techniques &amp; human'!V40,"")</f>
        <v/>
      </c>
      <c r="I39" t="str">
        <f>IF(COUNTIF('outliers per techniques &amp; human'!H$3:H$42,'outliers per techniques &amp; human'!V40),'outliers per techniques &amp; human'!V40,"")</f>
        <v/>
      </c>
      <c r="J39" t="str">
        <f>IF(COUNTIF('outliers per techniques &amp; human'!I$3:I$21,'outliers per techniques &amp; human'!V40),'outliers per techniques &amp; human'!V40,"")</f>
        <v/>
      </c>
      <c r="K39" t="str">
        <f>IF(COUNTIF('outliers per techniques &amp; human'!J$3:J$47,'outliers per techniques &amp; human'!V40),'outliers per techniques &amp; human'!V40,"")</f>
        <v/>
      </c>
      <c r="L39" t="str">
        <f>IF(COUNTIF('outliers per techniques &amp; human'!K$3:K$78,'outliers per techniques &amp; human'!V40),'outliers per techniques &amp; human'!V40,"")</f>
        <v/>
      </c>
      <c r="M39" t="str">
        <f>IF(COUNTIF('outliers per techniques &amp; human'!L$3:L$17,'outliers per techniques &amp; human'!V40),'outliers per techniques &amp; human'!V40,"")</f>
        <v/>
      </c>
      <c r="N39" t="str">
        <f>IF(COUNTIF('outliers per techniques &amp; human'!M$3:M$200,'outliers per techniques &amp; human'!V40),'outliers per techniques &amp; human'!V40,"")</f>
        <v>meer</v>
      </c>
      <c r="O39" t="str">
        <f>IF(COUNTIF('outliers per techniques &amp; human'!N$3:N$25,'outliers per techniques &amp; human'!V40),'outliers per techniques &amp; human'!V40,"")</f>
        <v/>
      </c>
      <c r="P39" t="str">
        <f>IF(COUNTIF('outliers per techniques &amp; human'!O$3:O$368,'outliers per techniques &amp; human'!V40),'outliers per techniques &amp; human'!V40,"")</f>
        <v/>
      </c>
    </row>
    <row r="40" spans="2:16" x14ac:dyDescent="0.25">
      <c r="B40" s="4" t="str">
        <f>IF(COUNTIF('outliers per techniques &amp; human'!A$3:A$28,'outliers per techniques &amp; human'!$V41),'outliers per techniques &amp; human'!$V41,"")</f>
        <v/>
      </c>
      <c r="C40" t="str">
        <f>IF(COUNTIF('outliers per techniques &amp; human'!B$3:B$28,'outliers per techniques &amp; human'!V41),'outliers per techniques &amp; human'!V41,"")</f>
        <v/>
      </c>
      <c r="D40" t="str">
        <f>IF(COUNTIF('outliers per techniques &amp; human'!C$3:C$38,'outliers per techniques &amp; human'!V41),'outliers per techniques &amp; human'!V41,"")</f>
        <v/>
      </c>
      <c r="E40" t="str">
        <f>IF(COUNTIF('outliers per techniques &amp; human'!D$3:D$38,'outliers per techniques &amp; human'!V41),'outliers per techniques &amp; human'!V41,"")</f>
        <v/>
      </c>
      <c r="F40" t="str">
        <f>IF(COUNTIF('outliers per techniques &amp; human'!E$3:E$24,'outliers per techniques &amp; human'!V41),'outliers per techniques &amp; human'!V41,"")</f>
        <v/>
      </c>
      <c r="G40" t="str">
        <f>IF(COUNTIF('outliers per techniques &amp; human'!F$3:F$24,'outliers per techniques &amp; human'!V41),'outliers per techniques &amp; human'!V41,"")</f>
        <v/>
      </c>
      <c r="H40" t="str">
        <f>IF(COUNTIF('outliers per techniques &amp; human'!G$3:G$42,'outliers per techniques &amp; human'!V41),'outliers per techniques &amp; human'!V41,"")</f>
        <v/>
      </c>
      <c r="I40" t="str">
        <f>IF(COUNTIF('outliers per techniques &amp; human'!H$3:H$42,'outliers per techniques &amp; human'!V41),'outliers per techniques &amp; human'!V41,"")</f>
        <v/>
      </c>
      <c r="J40" t="str">
        <f>IF(COUNTIF('outliers per techniques &amp; human'!I$3:I$21,'outliers per techniques &amp; human'!V41),'outliers per techniques &amp; human'!V41,"")</f>
        <v/>
      </c>
      <c r="K40" t="str">
        <f>IF(COUNTIF('outliers per techniques &amp; human'!J$3:J$47,'outliers per techniques &amp; human'!V41),'outliers per techniques &amp; human'!V41,"")</f>
        <v/>
      </c>
      <c r="L40" t="str">
        <f>IF(COUNTIF('outliers per techniques &amp; human'!K$3:K$78,'outliers per techniques &amp; human'!V41),'outliers per techniques &amp; human'!V41,"")</f>
        <v/>
      </c>
      <c r="M40" t="str">
        <f>IF(COUNTIF('outliers per techniques &amp; human'!L$3:L$17,'outliers per techniques &amp; human'!V41),'outliers per techniques &amp; human'!V41,"")</f>
        <v/>
      </c>
      <c r="N40" t="str">
        <f>IF(COUNTIF('outliers per techniques &amp; human'!M$3:M$200,'outliers per techniques &amp; human'!V41),'outliers per techniques &amp; human'!V41,"")</f>
        <v/>
      </c>
      <c r="O40" t="str">
        <f>IF(COUNTIF('outliers per techniques &amp; human'!N$3:N$25,'outliers per techniques &amp; human'!V41),'outliers per techniques &amp; human'!V41,"")</f>
        <v/>
      </c>
      <c r="P40" t="str">
        <f>IF(COUNTIF('outliers per techniques &amp; human'!O$3:O$368,'outliers per techniques &amp; human'!V41),'outliers per techniques &amp; human'!V41,"")</f>
        <v>webshop</v>
      </c>
    </row>
    <row r="41" spans="2:16" x14ac:dyDescent="0.25">
      <c r="B41" s="4" t="str">
        <f>IF(COUNTIF('outliers per techniques &amp; human'!A$3:A$28,'outliers per techniques &amp; human'!$V42),'outliers per techniques &amp; human'!$V42,"")</f>
        <v/>
      </c>
      <c r="C41" t="str">
        <f>IF(COUNTIF('outliers per techniques &amp; human'!B$3:B$28,'outliers per techniques &amp; human'!V42),'outliers per techniques &amp; human'!V42,"")</f>
        <v/>
      </c>
      <c r="D41" t="str">
        <f>IF(COUNTIF('outliers per techniques &amp; human'!C$3:C$38,'outliers per techniques &amp; human'!V42),'outliers per techniques &amp; human'!V42,"")</f>
        <v/>
      </c>
      <c r="E41" t="str">
        <f>IF(COUNTIF('outliers per techniques &amp; human'!D$3:D$38,'outliers per techniques &amp; human'!V42),'outliers per techniques &amp; human'!V42,"")</f>
        <v/>
      </c>
      <c r="F41" t="str">
        <f>IF(COUNTIF('outliers per techniques &amp; human'!E$3:E$24,'outliers per techniques &amp; human'!V42),'outliers per techniques &amp; human'!V42,"")</f>
        <v/>
      </c>
      <c r="G41" t="str">
        <f>IF(COUNTIF('outliers per techniques &amp; human'!F$3:F$24,'outliers per techniques &amp; human'!V42),'outliers per techniques &amp; human'!V42,"")</f>
        <v/>
      </c>
      <c r="H41" t="str">
        <f>IF(COUNTIF('outliers per techniques &amp; human'!G$3:G$42,'outliers per techniques &amp; human'!V42),'outliers per techniques &amp; human'!V42,"")</f>
        <v/>
      </c>
      <c r="I41" t="str">
        <f>IF(COUNTIF('outliers per techniques &amp; human'!H$3:H$42,'outliers per techniques &amp; human'!V42),'outliers per techniques &amp; human'!V42,"")</f>
        <v/>
      </c>
      <c r="J41" t="str">
        <f>IF(COUNTIF('outliers per techniques &amp; human'!I$3:I$21,'outliers per techniques &amp; human'!V42),'outliers per techniques &amp; human'!V42,"")</f>
        <v/>
      </c>
      <c r="K41" t="str">
        <f>IF(COUNTIF('outliers per techniques &amp; human'!J$3:J$47,'outliers per techniques &amp; human'!V42),'outliers per techniques &amp; human'!V42,"")</f>
        <v/>
      </c>
      <c r="L41" t="str">
        <f>IF(COUNTIF('outliers per techniques &amp; human'!K$3:K$78,'outliers per techniques &amp; human'!V42),'outliers per techniques &amp; human'!V42,"")</f>
        <v>uurimus</v>
      </c>
      <c r="M41" t="str">
        <f>IF(COUNTIF('outliers per techniques &amp; human'!L$3:L$17,'outliers per techniques &amp; human'!V42),'outliers per techniques &amp; human'!V42,"")</f>
        <v/>
      </c>
      <c r="N41" t="str">
        <f>IF(COUNTIF('outliers per techniques &amp; human'!M$3:M$200,'outliers per techniques &amp; human'!V42),'outliers per techniques &amp; human'!V42,"")</f>
        <v/>
      </c>
      <c r="O41" t="str">
        <f>IF(COUNTIF('outliers per techniques &amp; human'!N$3:N$25,'outliers per techniques &amp; human'!V42),'outliers per techniques &amp; human'!V42,"")</f>
        <v/>
      </c>
      <c r="P41" t="str">
        <f>IF(COUNTIF('outliers per techniques &amp; human'!O$3:O$368,'outliers per techniques &amp; human'!V42),'outliers per techniques &amp; human'!V42,"")</f>
        <v/>
      </c>
    </row>
    <row r="42" spans="2:16" x14ac:dyDescent="0.25">
      <c r="B42" s="4" t="str">
        <f>IF(COUNTIF('outliers per techniques &amp; human'!A$3:A$28,'outliers per techniques &amp; human'!$V43),'outliers per techniques &amp; human'!$V43,"")</f>
        <v/>
      </c>
      <c r="C42" t="str">
        <f>IF(COUNTIF('outliers per techniques &amp; human'!B$3:B$28,'outliers per techniques &amp; human'!V43),'outliers per techniques &amp; human'!V43,"")</f>
        <v/>
      </c>
      <c r="D42" t="str">
        <f>IF(COUNTIF('outliers per techniques &amp; human'!C$3:C$38,'outliers per techniques &amp; human'!V43),'outliers per techniques &amp; human'!V43,"")</f>
        <v/>
      </c>
      <c r="E42" t="str">
        <f>IF(COUNTIF('outliers per techniques &amp; human'!D$3:D$38,'outliers per techniques &amp; human'!V43),'outliers per techniques &amp; human'!V43,"")</f>
        <v/>
      </c>
      <c r="F42" t="str">
        <f>IF(COUNTIF('outliers per techniques &amp; human'!E$3:E$24,'outliers per techniques &amp; human'!V43),'outliers per techniques &amp; human'!V43,"")</f>
        <v/>
      </c>
      <c r="G42" t="str">
        <f>IF(COUNTIF('outliers per techniques &amp; human'!F$3:F$24,'outliers per techniques &amp; human'!V43),'outliers per techniques &amp; human'!V43,"")</f>
        <v/>
      </c>
      <c r="H42" t="str">
        <f>IF(COUNTIF('outliers per techniques &amp; human'!G$3:G$42,'outliers per techniques &amp; human'!V43),'outliers per techniques &amp; human'!V43,"")</f>
        <v/>
      </c>
      <c r="I42" t="str">
        <f>IF(COUNTIF('outliers per techniques &amp; human'!H$3:H$42,'outliers per techniques &amp; human'!V43),'outliers per techniques &amp; human'!V43,"")</f>
        <v/>
      </c>
      <c r="J42" t="str">
        <f>IF(COUNTIF('outliers per techniques &amp; human'!I$3:I$21,'outliers per techniques &amp; human'!V43),'outliers per techniques &amp; human'!V43,"")</f>
        <v/>
      </c>
      <c r="K42" t="str">
        <f>IF(COUNTIF('outliers per techniques &amp; human'!J$3:J$47,'outliers per techniques &amp; human'!V43),'outliers per techniques &amp; human'!V43,"")</f>
        <v/>
      </c>
      <c r="L42" t="str">
        <f>IF(COUNTIF('outliers per techniques &amp; human'!K$3:K$78,'outliers per techniques &amp; human'!V43),'outliers per techniques &amp; human'!V43,"")</f>
        <v/>
      </c>
      <c r="M42" t="str">
        <f>IF(COUNTIF('outliers per techniques &amp; human'!L$3:L$17,'outliers per techniques &amp; human'!V43),'outliers per techniques &amp; human'!V43,"")</f>
        <v/>
      </c>
      <c r="N42" t="str">
        <f>IF(COUNTIF('outliers per techniques &amp; human'!M$3:M$200,'outliers per techniques &amp; human'!V43),'outliers per techniques &amp; human'!V43,"")</f>
        <v/>
      </c>
      <c r="O42" t="str">
        <f>IF(COUNTIF('outliers per techniques &amp; human'!N$3:N$25,'outliers per techniques &amp; human'!V43),'outliers per techniques &amp; human'!V43,"")</f>
        <v/>
      </c>
      <c r="P42" t="str">
        <f>IF(COUNTIF('outliers per techniques &amp; human'!O$3:O$368,'outliers per techniques &amp; human'!V43),'outliers per techniques &amp; human'!V43,"")</f>
        <v>negri</v>
      </c>
    </row>
    <row r="43" spans="2:16" x14ac:dyDescent="0.25">
      <c r="B43" s="4" t="str">
        <f>IF(COUNTIF('outliers per techniques &amp; human'!A$3:A$28,'outliers per techniques &amp; human'!$V44),'outliers per techniques &amp; human'!$V44,"")</f>
        <v/>
      </c>
      <c r="C43" t="str">
        <f>IF(COUNTIF('outliers per techniques &amp; human'!B$3:B$28,'outliers per techniques &amp; human'!V44),'outliers per techniques &amp; human'!V44,"")</f>
        <v/>
      </c>
      <c r="D43" t="str">
        <f>IF(COUNTIF('outliers per techniques &amp; human'!C$3:C$38,'outliers per techniques &amp; human'!V44),'outliers per techniques &amp; human'!V44,"")</f>
        <v/>
      </c>
      <c r="E43" t="str">
        <f>IF(COUNTIF('outliers per techniques &amp; human'!D$3:D$38,'outliers per techniques &amp; human'!V44),'outliers per techniques &amp; human'!V44,"")</f>
        <v/>
      </c>
      <c r="F43" t="str">
        <f>IF(COUNTIF('outliers per techniques &amp; human'!E$3:E$24,'outliers per techniques &amp; human'!V44),'outliers per techniques &amp; human'!V44,"")</f>
        <v/>
      </c>
      <c r="G43" t="str">
        <f>IF(COUNTIF('outliers per techniques &amp; human'!F$3:F$24,'outliers per techniques &amp; human'!V44),'outliers per techniques &amp; human'!V44,"")</f>
        <v/>
      </c>
      <c r="H43" t="str">
        <f>IF(COUNTIF('outliers per techniques &amp; human'!G$3:G$42,'outliers per techniques &amp; human'!V44),'outliers per techniques &amp; human'!V44,"")</f>
        <v/>
      </c>
      <c r="I43" t="str">
        <f>IF(COUNTIF('outliers per techniques &amp; human'!H$3:H$42,'outliers per techniques &amp; human'!V44),'outliers per techniques &amp; human'!V44,"")</f>
        <v/>
      </c>
      <c r="J43" t="str">
        <f>IF(COUNTIF('outliers per techniques &amp; human'!I$3:I$21,'outliers per techniques &amp; human'!V44),'outliers per techniques &amp; human'!V44,"")</f>
        <v/>
      </c>
      <c r="K43" t="str">
        <f>IF(COUNTIF('outliers per techniques &amp; human'!J$3:J$47,'outliers per techniques &amp; human'!V44),'outliers per techniques &amp; human'!V44,"")</f>
        <v/>
      </c>
      <c r="L43" t="str">
        <f>IF(COUNTIF('outliers per techniques &amp; human'!K$3:K$78,'outliers per techniques &amp; human'!V44),'outliers per techniques &amp; human'!V44,"")</f>
        <v/>
      </c>
      <c r="M43" t="str">
        <f>IF(COUNTIF('outliers per techniques &amp; human'!L$3:L$17,'outliers per techniques &amp; human'!V44),'outliers per techniques &amp; human'!V44,"")</f>
        <v/>
      </c>
      <c r="N43" t="str">
        <f>IF(COUNTIF('outliers per techniques &amp; human'!M$3:M$200,'outliers per techniques &amp; human'!V44),'outliers per techniques &amp; human'!V44,"")</f>
        <v>gedachtnis</v>
      </c>
      <c r="O43" t="str">
        <f>IF(COUNTIF('outliers per techniques &amp; human'!N$3:N$25,'outliers per techniques &amp; human'!V44),'outliers per techniques &amp; human'!V44,"")</f>
        <v/>
      </c>
      <c r="P43" t="str">
        <f>IF(COUNTIF('outliers per techniques &amp; human'!O$3:O$368,'outliers per techniques &amp; human'!V44),'outliers per techniques &amp; human'!V44,"")</f>
        <v/>
      </c>
    </row>
    <row r="44" spans="2:16" x14ac:dyDescent="0.25">
      <c r="B44" s="4" t="str">
        <f>IF(COUNTIF('outliers per techniques &amp; human'!A$3:A$28,'outliers per techniques &amp; human'!$V45),'outliers per techniques &amp; human'!$V45,"")</f>
        <v/>
      </c>
      <c r="C44" t="str">
        <f>IF(COUNTIF('outliers per techniques &amp; human'!B$3:B$28,'outliers per techniques &amp; human'!V45),'outliers per techniques &amp; human'!V45,"")</f>
        <v/>
      </c>
      <c r="D44" t="str">
        <f>IF(COUNTIF('outliers per techniques &amp; human'!C$3:C$38,'outliers per techniques &amp; human'!V45),'outliers per techniques &amp; human'!V45,"")</f>
        <v/>
      </c>
      <c r="E44" t="str">
        <f>IF(COUNTIF('outliers per techniques &amp; human'!D$3:D$38,'outliers per techniques &amp; human'!V45),'outliers per techniques &amp; human'!V45,"")</f>
        <v/>
      </c>
      <c r="F44" t="str">
        <f>IF(COUNTIF('outliers per techniques &amp; human'!E$3:E$24,'outliers per techniques &amp; human'!V45),'outliers per techniques &amp; human'!V45,"")</f>
        <v/>
      </c>
      <c r="G44" t="str">
        <f>IF(COUNTIF('outliers per techniques &amp; human'!F$3:F$24,'outliers per techniques &amp; human'!V45),'outliers per techniques &amp; human'!V45,"")</f>
        <v/>
      </c>
      <c r="H44" t="str">
        <f>IF(COUNTIF('outliers per techniques &amp; human'!G$3:G$42,'outliers per techniques &amp; human'!V45),'outliers per techniques &amp; human'!V45,"")</f>
        <v/>
      </c>
      <c r="I44" t="str">
        <f>IF(COUNTIF('outliers per techniques &amp; human'!H$3:H$42,'outliers per techniques &amp; human'!V45),'outliers per techniques &amp; human'!V45,"")</f>
        <v/>
      </c>
      <c r="J44" t="str">
        <f>IF(COUNTIF('outliers per techniques &amp; human'!I$3:I$21,'outliers per techniques &amp; human'!V45),'outliers per techniques &amp; human'!V45,"")</f>
        <v/>
      </c>
      <c r="K44" t="str">
        <f>IF(COUNTIF('outliers per techniques &amp; human'!J$3:J$47,'outliers per techniques &amp; human'!V45),'outliers per techniques &amp; human'!V45,"")</f>
        <v/>
      </c>
      <c r="L44" t="str">
        <f>IF(COUNTIF('outliers per techniques &amp; human'!K$3:K$78,'outliers per techniques &amp; human'!V45),'outliers per techniques &amp; human'!V45,"")</f>
        <v/>
      </c>
      <c r="M44" t="str">
        <f>IF(COUNTIF('outliers per techniques &amp; human'!L$3:L$17,'outliers per techniques &amp; human'!V45),'outliers per techniques &amp; human'!V45,"")</f>
        <v>epistemologie</v>
      </c>
      <c r="N44" t="str">
        <f>IF(COUNTIF('outliers per techniques &amp; human'!M$3:M$200,'outliers per techniques &amp; human'!V45),'outliers per techniques &amp; human'!V45,"")</f>
        <v>epistemologie</v>
      </c>
      <c r="O44" t="str">
        <f>IF(COUNTIF('outliers per techniques &amp; human'!N$3:N$25,'outliers per techniques &amp; human'!V45),'outliers per techniques &amp; human'!V45,"")</f>
        <v/>
      </c>
      <c r="P44" t="str">
        <f>IF(COUNTIF('outliers per techniques &amp; human'!O$3:O$368,'outliers per techniques &amp; human'!V45),'outliers per techniques &amp; human'!V45,"")</f>
        <v/>
      </c>
    </row>
    <row r="45" spans="2:16" x14ac:dyDescent="0.25">
      <c r="B45" s="4" t="str">
        <f>IF(COUNTIF('outliers per techniques &amp; human'!A$3:A$28,'outliers per techniques &amp; human'!$V46),'outliers per techniques &amp; human'!$V46,"")</f>
        <v/>
      </c>
      <c r="C45" t="str">
        <f>IF(COUNTIF('outliers per techniques &amp; human'!B$3:B$28,'outliers per techniques &amp; human'!V46),'outliers per techniques &amp; human'!V46,"")</f>
        <v/>
      </c>
      <c r="D45" t="str">
        <f>IF(COUNTIF('outliers per techniques &amp; human'!C$3:C$38,'outliers per techniques &amp; human'!V46),'outliers per techniques &amp; human'!V46,"")</f>
        <v/>
      </c>
      <c r="E45" t="str">
        <f>IF(COUNTIF('outliers per techniques &amp; human'!D$3:D$38,'outliers per techniques &amp; human'!V46),'outliers per techniques &amp; human'!V46,"")</f>
        <v/>
      </c>
      <c r="F45" t="str">
        <f>IF(COUNTIF('outliers per techniques &amp; human'!E$3:E$24,'outliers per techniques &amp; human'!V46),'outliers per techniques &amp; human'!V46,"")</f>
        <v/>
      </c>
      <c r="G45" t="str">
        <f>IF(COUNTIF('outliers per techniques &amp; human'!F$3:F$24,'outliers per techniques &amp; human'!V46),'outliers per techniques &amp; human'!V46,"")</f>
        <v/>
      </c>
      <c r="H45" t="str">
        <f>IF(COUNTIF('outliers per techniques &amp; human'!G$3:G$42,'outliers per techniques &amp; human'!V46),'outliers per techniques &amp; human'!V46,"")</f>
        <v/>
      </c>
      <c r="I45" t="str">
        <f>IF(COUNTIF('outliers per techniques &amp; human'!H$3:H$42,'outliers per techniques &amp; human'!V46),'outliers per techniques &amp; human'!V46,"")</f>
        <v/>
      </c>
      <c r="J45" t="str">
        <f>IF(COUNTIF('outliers per techniques &amp; human'!I$3:I$21,'outliers per techniques &amp; human'!V46),'outliers per techniques &amp; human'!V46,"")</f>
        <v/>
      </c>
      <c r="K45" t="str">
        <f>IF(COUNTIF('outliers per techniques &amp; human'!J$3:J$47,'outliers per techniques &amp; human'!V46),'outliers per techniques &amp; human'!V46,"")</f>
        <v/>
      </c>
      <c r="L45" t="str">
        <f>IF(COUNTIF('outliers per techniques &amp; human'!K$3:K$78,'outliers per techniques &amp; human'!V46),'outliers per techniques &amp; human'!V46,"")</f>
        <v/>
      </c>
      <c r="M45" t="str">
        <f>IF(COUNTIF('outliers per techniques &amp; human'!L$3:L$17,'outliers per techniques &amp; human'!V46),'outliers per techniques &amp; human'!V46,"")</f>
        <v/>
      </c>
      <c r="N45" t="str">
        <f>IF(COUNTIF('outliers per techniques &amp; human'!M$3:M$200,'outliers per techniques &amp; human'!V46),'outliers per techniques &amp; human'!V46,"")</f>
        <v/>
      </c>
      <c r="O45" t="str">
        <f>IF(COUNTIF('outliers per techniques &amp; human'!N$3:N$25,'outliers per techniques &amp; human'!V46),'outliers per techniques &amp; human'!V46,"")</f>
        <v/>
      </c>
      <c r="P45" t="str">
        <f>IF(COUNTIF('outliers per techniques &amp; human'!O$3:O$368,'outliers per techniques &amp; human'!V46),'outliers per techniques &amp; human'!V46,"")</f>
        <v>ss2010</v>
      </c>
    </row>
    <row r="46" spans="2:16" x14ac:dyDescent="0.25">
      <c r="B46" s="4" t="str">
        <f>IF(COUNTIF('outliers per techniques &amp; human'!A$3:A$28,'outliers per techniques &amp; human'!$V47),'outliers per techniques &amp; human'!$V47,"")</f>
        <v>adam</v>
      </c>
      <c r="C46" t="str">
        <f>IF(COUNTIF('outliers per techniques &amp; human'!B$3:B$28,'outliers per techniques &amp; human'!V47),'outliers per techniques &amp; human'!V47,"")</f>
        <v>adam</v>
      </c>
      <c r="D46" t="str">
        <f>IF(COUNTIF('outliers per techniques &amp; human'!C$3:C$38,'outliers per techniques &amp; human'!V47),'outliers per techniques &amp; human'!V47,"")</f>
        <v>adam</v>
      </c>
      <c r="E46" t="str">
        <f>IF(COUNTIF('outliers per techniques &amp; human'!D$3:D$38,'outliers per techniques &amp; human'!V47),'outliers per techniques &amp; human'!V47,"")</f>
        <v>adam</v>
      </c>
      <c r="F46" t="str">
        <f>IF(COUNTIF('outliers per techniques &amp; human'!E$3:E$24,'outliers per techniques &amp; human'!V47),'outliers per techniques &amp; human'!V47,"")</f>
        <v/>
      </c>
      <c r="G46" t="str">
        <f>IF(COUNTIF('outliers per techniques &amp; human'!F$3:F$24,'outliers per techniques &amp; human'!V47),'outliers per techniques &amp; human'!V47,"")</f>
        <v/>
      </c>
      <c r="H46" t="str">
        <f>IF(COUNTIF('outliers per techniques &amp; human'!G$3:G$42,'outliers per techniques &amp; human'!V47),'outliers per techniques &amp; human'!V47,"")</f>
        <v/>
      </c>
      <c r="I46" t="str">
        <f>IF(COUNTIF('outliers per techniques &amp; human'!H$3:H$42,'outliers per techniques &amp; human'!V47),'outliers per techniques &amp; human'!V47,"")</f>
        <v/>
      </c>
      <c r="J46" t="str">
        <f>IF(COUNTIF('outliers per techniques &amp; human'!I$3:I$21,'outliers per techniques &amp; human'!V47),'outliers per techniques &amp; human'!V47,"")</f>
        <v/>
      </c>
      <c r="K46" t="str">
        <f>IF(COUNTIF('outliers per techniques &amp; human'!J$3:J$47,'outliers per techniques &amp; human'!V47),'outliers per techniques &amp; human'!V47,"")</f>
        <v/>
      </c>
      <c r="L46" t="str">
        <f>IF(COUNTIF('outliers per techniques &amp; human'!K$3:K$78,'outliers per techniques &amp; human'!V47),'outliers per techniques &amp; human'!V47,"")</f>
        <v/>
      </c>
      <c r="M46" t="str">
        <f>IF(COUNTIF('outliers per techniques &amp; human'!L$3:L$17,'outliers per techniques &amp; human'!V47),'outliers per techniques &amp; human'!V47,"")</f>
        <v/>
      </c>
      <c r="N46" t="str">
        <f>IF(COUNTIF('outliers per techniques &amp; human'!M$3:M$200,'outliers per techniques &amp; human'!V47),'outliers per techniques &amp; human'!V47,"")</f>
        <v/>
      </c>
      <c r="O46" t="str">
        <f>IF(COUNTIF('outliers per techniques &amp; human'!N$3:N$25,'outliers per techniques &amp; human'!V47),'outliers per techniques &amp; human'!V47,"")</f>
        <v/>
      </c>
      <c r="P46" t="str">
        <f>IF(COUNTIF('outliers per techniques &amp; human'!O$3:O$368,'outliers per techniques &amp; human'!V47),'outliers per techniques &amp; human'!V47,"")</f>
        <v/>
      </c>
    </row>
    <row r="47" spans="2:16" x14ac:dyDescent="0.25">
      <c r="B47" s="4" t="str">
        <f>IF(COUNTIF('outliers per techniques &amp; human'!A$3:A$28,'outliers per techniques &amp; human'!$V48),'outliers per techniques &amp; human'!$V48,"")</f>
        <v/>
      </c>
      <c r="C47" t="str">
        <f>IF(COUNTIF('outliers per techniques &amp; human'!B$3:B$28,'outliers per techniques &amp; human'!V48),'outliers per techniques &amp; human'!V48,"")</f>
        <v/>
      </c>
      <c r="D47" t="str">
        <f>IF(COUNTIF('outliers per techniques &amp; human'!C$3:C$38,'outliers per techniques &amp; human'!V48),'outliers per techniques &amp; human'!V48,"")</f>
        <v/>
      </c>
      <c r="E47" t="str">
        <f>IF(COUNTIF('outliers per techniques &amp; human'!D$3:D$38,'outliers per techniques &amp; human'!V48),'outliers per techniques &amp; human'!V48,"")</f>
        <v/>
      </c>
      <c r="F47" t="str">
        <f>IF(COUNTIF('outliers per techniques &amp; human'!E$3:E$24,'outliers per techniques &amp; human'!V48),'outliers per techniques &amp; human'!V48,"")</f>
        <v/>
      </c>
      <c r="G47" t="str">
        <f>IF(COUNTIF('outliers per techniques &amp; human'!F$3:F$24,'outliers per techniques &amp; human'!V48),'outliers per techniques &amp; human'!V48,"")</f>
        <v/>
      </c>
      <c r="H47" t="str">
        <f>IF(COUNTIF('outliers per techniques &amp; human'!G$3:G$42,'outliers per techniques &amp; human'!V48),'outliers per techniques &amp; human'!V48,"")</f>
        <v/>
      </c>
      <c r="I47" t="str">
        <f>IF(COUNTIF('outliers per techniques &amp; human'!H$3:H$42,'outliers per techniques &amp; human'!V48),'outliers per techniques &amp; human'!V48,"")</f>
        <v/>
      </c>
      <c r="J47" t="str">
        <f>IF(COUNTIF('outliers per techniques &amp; human'!I$3:I$21,'outliers per techniques &amp; human'!V48),'outliers per techniques &amp; human'!V48,"")</f>
        <v/>
      </c>
      <c r="K47" t="str">
        <f>IF(COUNTIF('outliers per techniques &amp; human'!J$3:J$47,'outliers per techniques &amp; human'!V48),'outliers per techniques &amp; human'!V48,"")</f>
        <v/>
      </c>
      <c r="L47" t="str">
        <f>IF(COUNTIF('outliers per techniques &amp; human'!K$3:K$78,'outliers per techniques &amp; human'!V48),'outliers per techniques &amp; human'!V48,"")</f>
        <v/>
      </c>
      <c r="M47" t="str">
        <f>IF(COUNTIF('outliers per techniques &amp; human'!L$3:L$17,'outliers per techniques &amp; human'!V48),'outliers per techniques &amp; human'!V48,"")</f>
        <v/>
      </c>
      <c r="N47" t="str">
        <f>IF(COUNTIF('outliers per techniques &amp; human'!M$3:M$200,'outliers per techniques &amp; human'!V48),'outliers per techniques &amp; human'!V48,"")</f>
        <v/>
      </c>
      <c r="O47" t="str">
        <f>IF(COUNTIF('outliers per techniques &amp; human'!N$3:N$25,'outliers per techniques &amp; human'!V48),'outliers per techniques &amp; human'!V48,"")</f>
        <v/>
      </c>
      <c r="P47" t="str">
        <f>IF(COUNTIF('outliers per techniques &amp; human'!O$3:O$368,'outliers per techniques &amp; human'!V48),'outliers per techniques &amp; human'!V48,"")</f>
        <v>projektcontrolling</v>
      </c>
    </row>
    <row r="48" spans="2:16" x14ac:dyDescent="0.25">
      <c r="B48" s="4" t="str">
        <f>IF(COUNTIF('outliers per techniques &amp; human'!A$3:A$28,'outliers per techniques &amp; human'!$V49),'outliers per techniques &amp; human'!$V49,"")</f>
        <v/>
      </c>
      <c r="C48" t="str">
        <f>IF(COUNTIF('outliers per techniques &amp; human'!B$3:B$28,'outliers per techniques &amp; human'!V49),'outliers per techniques &amp; human'!V49,"")</f>
        <v/>
      </c>
      <c r="D48" t="str">
        <f>IF(COUNTIF('outliers per techniques &amp; human'!C$3:C$38,'outliers per techniques &amp; human'!V49),'outliers per techniques &amp; human'!V49,"")</f>
        <v/>
      </c>
      <c r="E48" t="str">
        <f>IF(COUNTIF('outliers per techniques &amp; human'!D$3:D$38,'outliers per techniques &amp; human'!V49),'outliers per techniques &amp; human'!V49,"")</f>
        <v/>
      </c>
      <c r="F48" t="str">
        <f>IF(COUNTIF('outliers per techniques &amp; human'!E$3:E$24,'outliers per techniques &amp; human'!V49),'outliers per techniques &amp; human'!V49,"")</f>
        <v/>
      </c>
      <c r="G48" t="str">
        <f>IF(COUNTIF('outliers per techniques &amp; human'!F$3:F$24,'outliers per techniques &amp; human'!V49),'outliers per techniques &amp; human'!V49,"")</f>
        <v/>
      </c>
      <c r="H48" t="str">
        <f>IF(COUNTIF('outliers per techniques &amp; human'!G$3:G$42,'outliers per techniques &amp; human'!V49),'outliers per techniques &amp; human'!V49,"")</f>
        <v/>
      </c>
      <c r="I48" t="str">
        <f>IF(COUNTIF('outliers per techniques &amp; human'!H$3:H$42,'outliers per techniques &amp; human'!V49),'outliers per techniques &amp; human'!V49,"")</f>
        <v/>
      </c>
      <c r="J48" t="str">
        <f>IF(COUNTIF('outliers per techniques &amp; human'!I$3:I$21,'outliers per techniques &amp; human'!V49),'outliers per techniques &amp; human'!V49,"")</f>
        <v/>
      </c>
      <c r="K48" t="str">
        <f>IF(COUNTIF('outliers per techniques &amp; human'!J$3:J$47,'outliers per techniques &amp; human'!V49),'outliers per techniques &amp; human'!V49,"")</f>
        <v/>
      </c>
      <c r="L48" t="str">
        <f>IF(COUNTIF('outliers per techniques &amp; human'!K$3:K$78,'outliers per techniques &amp; human'!V49),'outliers per techniques &amp; human'!V49,"")</f>
        <v/>
      </c>
      <c r="M48" t="str">
        <f>IF(COUNTIF('outliers per techniques &amp; human'!L$3:L$17,'outliers per techniques &amp; human'!V49),'outliers per techniques &amp; human'!V49,"")</f>
        <v/>
      </c>
      <c r="N48" t="str">
        <f>IF(COUNTIF('outliers per techniques &amp; human'!M$3:M$200,'outliers per techniques &amp; human'!V49),'outliers per techniques &amp; human'!V49,"")</f>
        <v/>
      </c>
      <c r="O48" t="str">
        <f>IF(COUNTIF('outliers per techniques &amp; human'!N$3:N$25,'outliers per techniques &amp; human'!V49),'outliers per techniques &amp; human'!V49,"")</f>
        <v/>
      </c>
      <c r="P48" t="str">
        <f>IF(COUNTIF('outliers per techniques &amp; human'!O$3:O$368,'outliers per techniques &amp; human'!V49),'outliers per techniques &amp; human'!V49,"")</f>
        <v>konfliktregelung</v>
      </c>
    </row>
    <row r="49" spans="2:16" x14ac:dyDescent="0.25">
      <c r="B49" s="4" t="str">
        <f>IF(COUNTIF('outliers per techniques &amp; human'!A$3:A$28,'outliers per techniques &amp; human'!$V50),'outliers per techniques &amp; human'!$V50,"")</f>
        <v/>
      </c>
      <c r="C49" t="str">
        <f>IF(COUNTIF('outliers per techniques &amp; human'!B$3:B$28,'outliers per techniques &amp; human'!V50),'outliers per techniques &amp; human'!V50,"")</f>
        <v/>
      </c>
      <c r="D49" t="str">
        <f>IF(COUNTIF('outliers per techniques &amp; human'!C$3:C$38,'outliers per techniques &amp; human'!V50),'outliers per techniques &amp; human'!V50,"")</f>
        <v/>
      </c>
      <c r="E49" t="str">
        <f>IF(COUNTIF('outliers per techniques &amp; human'!D$3:D$38,'outliers per techniques &amp; human'!V50),'outliers per techniques &amp; human'!V50,"")</f>
        <v/>
      </c>
      <c r="F49" t="str">
        <f>IF(COUNTIF('outliers per techniques &amp; human'!E$3:E$24,'outliers per techniques &amp; human'!V50),'outliers per techniques &amp; human'!V50,"")</f>
        <v/>
      </c>
      <c r="G49" t="str">
        <f>IF(COUNTIF('outliers per techniques &amp; human'!F$3:F$24,'outliers per techniques &amp; human'!V50),'outliers per techniques &amp; human'!V50,"")</f>
        <v/>
      </c>
      <c r="H49" t="str">
        <f>IF(COUNTIF('outliers per techniques &amp; human'!G$3:G$42,'outliers per techniques &amp; human'!V50),'outliers per techniques &amp; human'!V50,"")</f>
        <v/>
      </c>
      <c r="I49" t="str">
        <f>IF(COUNTIF('outliers per techniques &amp; human'!H$3:H$42,'outliers per techniques &amp; human'!V50),'outliers per techniques &amp; human'!V50,"")</f>
        <v/>
      </c>
      <c r="J49" t="str">
        <f>IF(COUNTIF('outliers per techniques &amp; human'!I$3:I$21,'outliers per techniques &amp; human'!V50),'outliers per techniques &amp; human'!V50,"")</f>
        <v/>
      </c>
      <c r="K49" t="str">
        <f>IF(COUNTIF('outliers per techniques &amp; human'!J$3:J$47,'outliers per techniques &amp; human'!V50),'outliers per techniques &amp; human'!V50,"")</f>
        <v/>
      </c>
      <c r="L49" t="str">
        <f>IF(COUNTIF('outliers per techniques &amp; human'!K$3:K$78,'outliers per techniques &amp; human'!V50),'outliers per techniques &amp; human'!V50,"")</f>
        <v/>
      </c>
      <c r="M49" t="str">
        <f>IF(COUNTIF('outliers per techniques &amp; human'!L$3:L$17,'outliers per techniques &amp; human'!V50),'outliers per techniques &amp; human'!V50,"")</f>
        <v/>
      </c>
      <c r="N49" t="str">
        <f>IF(COUNTIF('outliers per techniques &amp; human'!M$3:M$200,'outliers per techniques &amp; human'!V50),'outliers per techniques &amp; human'!V50,"")</f>
        <v/>
      </c>
      <c r="O49" t="str">
        <f>IF(COUNTIF('outliers per techniques &amp; human'!N$3:N$25,'outliers per techniques &amp; human'!V50),'outliers per techniques &amp; human'!V50,"")</f>
        <v/>
      </c>
      <c r="P49" t="str">
        <f>IF(COUNTIF('outliers per techniques &amp; human'!O$3:O$368,'outliers per techniques &amp; human'!V50),'outliers per techniques &amp; human'!V50,"")</f>
        <v>allmende</v>
      </c>
    </row>
    <row r="50" spans="2:16" x14ac:dyDescent="0.25">
      <c r="B50" s="4" t="str">
        <f>IF(COUNTIF('outliers per techniques &amp; human'!A$3:A$28,'outliers per techniques &amp; human'!$V51),'outliers per techniques &amp; human'!$V51,"")</f>
        <v/>
      </c>
      <c r="C50" t="str">
        <f>IF(COUNTIF('outliers per techniques &amp; human'!B$3:B$28,'outliers per techniques &amp; human'!V51),'outliers per techniques &amp; human'!V51,"")</f>
        <v/>
      </c>
      <c r="D50" t="str">
        <f>IF(COUNTIF('outliers per techniques &amp; human'!C$3:C$38,'outliers per techniques &amp; human'!V51),'outliers per techniques &amp; human'!V51,"")</f>
        <v>1800</v>
      </c>
      <c r="E50" t="str">
        <f>IF(COUNTIF('outliers per techniques &amp; human'!D$3:D$38,'outliers per techniques &amp; human'!V51),'outliers per techniques &amp; human'!V51,"")</f>
        <v/>
      </c>
      <c r="F50" t="str">
        <f>IF(COUNTIF('outliers per techniques &amp; human'!E$3:E$24,'outliers per techniques &amp; human'!V51),'outliers per techniques &amp; human'!V51,"")</f>
        <v/>
      </c>
      <c r="G50" t="str">
        <f>IF(COUNTIF('outliers per techniques &amp; human'!F$3:F$24,'outliers per techniques &amp; human'!V51),'outliers per techniques &amp; human'!V51,"")</f>
        <v/>
      </c>
      <c r="H50" t="str">
        <f>IF(COUNTIF('outliers per techniques &amp; human'!G$3:G$42,'outliers per techniques &amp; human'!V51),'outliers per techniques &amp; human'!V51,"")</f>
        <v/>
      </c>
      <c r="I50" t="str">
        <f>IF(COUNTIF('outliers per techniques &amp; human'!H$3:H$42,'outliers per techniques &amp; human'!V51),'outliers per techniques &amp; human'!V51,"")</f>
        <v/>
      </c>
      <c r="J50" t="str">
        <f>IF(COUNTIF('outliers per techniques &amp; human'!I$3:I$21,'outliers per techniques &amp; human'!V51),'outliers per techniques &amp; human'!V51,"")</f>
        <v/>
      </c>
      <c r="K50" t="str">
        <f>IF(COUNTIF('outliers per techniques &amp; human'!J$3:J$47,'outliers per techniques &amp; human'!V51),'outliers per techniques &amp; human'!V51,"")</f>
        <v/>
      </c>
      <c r="L50" t="str">
        <f>IF(COUNTIF('outliers per techniques &amp; human'!K$3:K$78,'outliers per techniques &amp; human'!V51),'outliers per techniques &amp; human'!V51,"")</f>
        <v/>
      </c>
      <c r="M50" t="str">
        <f>IF(COUNTIF('outliers per techniques &amp; human'!L$3:L$17,'outliers per techniques &amp; human'!V51),'outliers per techniques &amp; human'!V51,"")</f>
        <v/>
      </c>
      <c r="N50" t="str">
        <f>IF(COUNTIF('outliers per techniques &amp; human'!M$3:M$200,'outliers per techniques &amp; human'!V51),'outliers per techniques &amp; human'!V51,"")</f>
        <v/>
      </c>
      <c r="O50" t="str">
        <f>IF(COUNTIF('outliers per techniques &amp; human'!N$3:N$25,'outliers per techniques &amp; human'!V51),'outliers per techniques &amp; human'!V51,"")</f>
        <v/>
      </c>
      <c r="P50" t="str">
        <f>IF(COUNTIF('outliers per techniques &amp; human'!O$3:O$368,'outliers per techniques &amp; human'!V51),'outliers per techniques &amp; human'!V51,"")</f>
        <v/>
      </c>
    </row>
    <row r="51" spans="2:16" x14ac:dyDescent="0.25">
      <c r="B51" s="4" t="str">
        <f>IF(COUNTIF('outliers per techniques &amp; human'!A$3:A$28,'outliers per techniques &amp; human'!$V52),'outliers per techniques &amp; human'!$V52,"")</f>
        <v/>
      </c>
      <c r="C51" t="str">
        <f>IF(COUNTIF('outliers per techniques &amp; human'!B$3:B$28,'outliers per techniques &amp; human'!V52),'outliers per techniques &amp; human'!V52,"")</f>
        <v/>
      </c>
      <c r="D51" t="str">
        <f>IF(COUNTIF('outliers per techniques &amp; human'!C$3:C$38,'outliers per techniques &amp; human'!V52),'outliers per techniques &amp; human'!V52,"")</f>
        <v/>
      </c>
      <c r="E51" t="str">
        <f>IF(COUNTIF('outliers per techniques &amp; human'!D$3:D$38,'outliers per techniques &amp; human'!V52),'outliers per techniques &amp; human'!V52,"")</f>
        <v/>
      </c>
      <c r="F51" t="str">
        <f>IF(COUNTIF('outliers per techniques &amp; human'!E$3:E$24,'outliers per techniques &amp; human'!V52),'outliers per techniques &amp; human'!V52,"")</f>
        <v/>
      </c>
      <c r="G51" t="str">
        <f>IF(COUNTIF('outliers per techniques &amp; human'!F$3:F$24,'outliers per techniques &amp; human'!V52),'outliers per techniques &amp; human'!V52,"")</f>
        <v/>
      </c>
      <c r="H51" t="str">
        <f>IF(COUNTIF('outliers per techniques &amp; human'!G$3:G$42,'outliers per techniques &amp; human'!V52),'outliers per techniques &amp; human'!V52,"")</f>
        <v/>
      </c>
      <c r="I51" t="str">
        <f>IF(COUNTIF('outliers per techniques &amp; human'!H$3:H$42,'outliers per techniques &amp; human'!V52),'outliers per techniques &amp; human'!V52,"")</f>
        <v/>
      </c>
      <c r="J51" t="str">
        <f>IF(COUNTIF('outliers per techniques &amp; human'!I$3:I$21,'outliers per techniques &amp; human'!V52),'outliers per techniques &amp; human'!V52,"")</f>
        <v/>
      </c>
      <c r="K51" t="str">
        <f>IF(COUNTIF('outliers per techniques &amp; human'!J$3:J$47,'outliers per techniques &amp; human'!V52),'outliers per techniques &amp; human'!V52,"")</f>
        <v/>
      </c>
      <c r="L51" t="str">
        <f>IF(COUNTIF('outliers per techniques &amp; human'!K$3:K$78,'outliers per techniques &amp; human'!V52),'outliers per techniques &amp; human'!V52,"")</f>
        <v/>
      </c>
      <c r="M51" t="str">
        <f>IF(COUNTIF('outliers per techniques &amp; human'!L$3:L$17,'outliers per techniques &amp; human'!V52),'outliers per techniques &amp; human'!V52,"")</f>
        <v/>
      </c>
      <c r="N51" t="str">
        <f>IF(COUNTIF('outliers per techniques &amp; human'!M$3:M$200,'outliers per techniques &amp; human'!V52),'outliers per techniques &amp; human'!V52,"")</f>
        <v>easymock</v>
      </c>
      <c r="O51" t="str">
        <f>IF(COUNTIF('outliers per techniques &amp; human'!N$3:N$25,'outliers per techniques &amp; human'!V52),'outliers per techniques &amp; human'!V52,"")</f>
        <v/>
      </c>
      <c r="P51" t="str">
        <f>IF(COUNTIF('outliers per techniques &amp; human'!O$3:O$368,'outliers per techniques &amp; human'!V52),'outliers per techniques &amp; human'!V52,"")</f>
        <v/>
      </c>
    </row>
    <row r="52" spans="2:16" x14ac:dyDescent="0.25">
      <c r="B52" s="4" t="str">
        <f>IF(COUNTIF('outliers per techniques &amp; human'!A$3:A$28,'outliers per techniques &amp; human'!$V53),'outliers per techniques &amp; human'!$V53,"")</f>
        <v/>
      </c>
      <c r="C52" t="str">
        <f>IF(COUNTIF('outliers per techniques &amp; human'!B$3:B$28,'outliers per techniques &amp; human'!V53),'outliers per techniques &amp; human'!V53,"")</f>
        <v>gesis</v>
      </c>
      <c r="D52" t="str">
        <f>IF(COUNTIF('outliers per techniques &amp; human'!C$3:C$38,'outliers per techniques &amp; human'!V53),'outliers per techniques &amp; human'!V53,"")</f>
        <v/>
      </c>
      <c r="E52" t="str">
        <f>IF(COUNTIF('outliers per techniques &amp; human'!D$3:D$38,'outliers per techniques &amp; human'!V53),'outliers per techniques &amp; human'!V53,"")</f>
        <v>gesis</v>
      </c>
      <c r="F52" t="str">
        <f>IF(COUNTIF('outliers per techniques &amp; human'!E$3:E$24,'outliers per techniques &amp; human'!V53),'outliers per techniques &amp; human'!V53,"")</f>
        <v/>
      </c>
      <c r="G52" t="str">
        <f>IF(COUNTIF('outliers per techniques &amp; human'!F$3:F$24,'outliers per techniques &amp; human'!V53),'outliers per techniques &amp; human'!V53,"")</f>
        <v/>
      </c>
      <c r="H52" t="str">
        <f>IF(COUNTIF('outliers per techniques &amp; human'!G$3:G$42,'outliers per techniques &amp; human'!V53),'outliers per techniques &amp; human'!V53,"")</f>
        <v/>
      </c>
      <c r="I52" t="str">
        <f>IF(COUNTIF('outliers per techniques &amp; human'!H$3:H$42,'outliers per techniques &amp; human'!V53),'outliers per techniques &amp; human'!V53,"")</f>
        <v/>
      </c>
      <c r="J52" t="str">
        <f>IF(COUNTIF('outliers per techniques &amp; human'!I$3:I$21,'outliers per techniques &amp; human'!V53),'outliers per techniques &amp; human'!V53,"")</f>
        <v/>
      </c>
      <c r="K52" t="str">
        <f>IF(COUNTIF('outliers per techniques &amp; human'!J$3:J$47,'outliers per techniques &amp; human'!V53),'outliers per techniques &amp; human'!V53,"")</f>
        <v/>
      </c>
      <c r="L52" t="str">
        <f>IF(COUNTIF('outliers per techniques &amp; human'!K$3:K$78,'outliers per techniques &amp; human'!V53),'outliers per techniques &amp; human'!V53,"")</f>
        <v/>
      </c>
      <c r="M52" t="str">
        <f>IF(COUNTIF('outliers per techniques &amp; human'!L$3:L$17,'outliers per techniques &amp; human'!V53),'outliers per techniques &amp; human'!V53,"")</f>
        <v/>
      </c>
      <c r="N52" t="str">
        <f>IF(COUNTIF('outliers per techniques &amp; human'!M$3:M$200,'outliers per techniques &amp; human'!V53),'outliers per techniques &amp; human'!V53,"")</f>
        <v/>
      </c>
      <c r="O52" t="str">
        <f>IF(COUNTIF('outliers per techniques &amp; human'!N$3:N$25,'outliers per techniques &amp; human'!V53),'outliers per techniques &amp; human'!V53,"")</f>
        <v/>
      </c>
      <c r="P52" t="str">
        <f>IF(COUNTIF('outliers per techniques &amp; human'!O$3:O$368,'outliers per techniques &amp; human'!V53),'outliers per techniques &amp; human'!V53,"")</f>
        <v/>
      </c>
    </row>
    <row r="53" spans="2:16" x14ac:dyDescent="0.25">
      <c r="B53" s="4" t="str">
        <f>IF(COUNTIF('outliers per techniques &amp; human'!A$3:A$28,'outliers per techniques &amp; human'!$V54),'outliers per techniques &amp; human'!$V54,"")</f>
        <v/>
      </c>
      <c r="C53" t="str">
        <f>IF(COUNTIF('outliers per techniques &amp; human'!B$3:B$28,'outliers per techniques &amp; human'!V54),'outliers per techniques &amp; human'!V54,"")</f>
        <v/>
      </c>
      <c r="D53" t="str">
        <f>IF(COUNTIF('outliers per techniques &amp; human'!C$3:C$38,'outliers per techniques &amp; human'!V54),'outliers per techniques &amp; human'!V54,"")</f>
        <v/>
      </c>
      <c r="E53" t="str">
        <f>IF(COUNTIF('outliers per techniques &amp; human'!D$3:D$38,'outliers per techniques &amp; human'!V54),'outliers per techniques &amp; human'!V54,"")</f>
        <v/>
      </c>
      <c r="F53" t="str">
        <f>IF(COUNTIF('outliers per techniques &amp; human'!E$3:E$24,'outliers per techniques &amp; human'!V54),'outliers per techniques &amp; human'!V54,"")</f>
        <v/>
      </c>
      <c r="G53" t="str">
        <f>IF(COUNTIF('outliers per techniques &amp; human'!F$3:F$24,'outliers per techniques &amp; human'!V54),'outliers per techniques &amp; human'!V54,"")</f>
        <v/>
      </c>
      <c r="H53" t="str">
        <f>IF(COUNTIF('outliers per techniques &amp; human'!G$3:G$42,'outliers per techniques &amp; human'!V54),'outliers per techniques &amp; human'!V54,"")</f>
        <v/>
      </c>
      <c r="I53" t="str">
        <f>IF(COUNTIF('outliers per techniques &amp; human'!H$3:H$42,'outliers per techniques &amp; human'!V54),'outliers per techniques &amp; human'!V54,"")</f>
        <v/>
      </c>
      <c r="J53" t="str">
        <f>IF(COUNTIF('outliers per techniques &amp; human'!I$3:I$21,'outliers per techniques &amp; human'!V54),'outliers per techniques &amp; human'!V54,"")</f>
        <v/>
      </c>
      <c r="K53" t="str">
        <f>IF(COUNTIF('outliers per techniques &amp; human'!J$3:J$47,'outliers per techniques &amp; human'!V54),'outliers per techniques &amp; human'!V54,"")</f>
        <v/>
      </c>
      <c r="L53" t="str">
        <f>IF(COUNTIF('outliers per techniques &amp; human'!K$3:K$78,'outliers per techniques &amp; human'!V54),'outliers per techniques &amp; human'!V54,"")</f>
        <v/>
      </c>
      <c r="M53" t="str">
        <f>IF(COUNTIF('outliers per techniques &amp; human'!L$3:L$17,'outliers per techniques &amp; human'!V54),'outliers per techniques &amp; human'!V54,"")</f>
        <v/>
      </c>
      <c r="N53" t="str">
        <f>IF(COUNTIF('outliers per techniques &amp; human'!M$3:M$200,'outliers per techniques &amp; human'!V54),'outliers per techniques &amp; human'!V54,"")</f>
        <v>lucas</v>
      </c>
      <c r="O53" t="str">
        <f>IF(COUNTIF('outliers per techniques &amp; human'!N$3:N$25,'outliers per techniques &amp; human'!V54),'outliers per techniques &amp; human'!V54,"")</f>
        <v/>
      </c>
      <c r="P53" t="str">
        <f>IF(COUNTIF('outliers per techniques &amp; human'!O$3:O$368,'outliers per techniques &amp; human'!V54),'outliers per techniques &amp; human'!V54,"")</f>
        <v/>
      </c>
    </row>
    <row r="54" spans="2:16" x14ac:dyDescent="0.25">
      <c r="B54" s="4" t="str">
        <f>IF(COUNTIF('outliers per techniques &amp; human'!A$3:A$28,'outliers per techniques &amp; human'!$V55),'outliers per techniques &amp; human'!$V55,"")</f>
        <v/>
      </c>
      <c r="C54" t="str">
        <f>IF(COUNTIF('outliers per techniques &amp; human'!B$3:B$28,'outliers per techniques &amp; human'!V55),'outliers per techniques &amp; human'!V55,"")</f>
        <v/>
      </c>
      <c r="D54" t="str">
        <f>IF(COUNTIF('outliers per techniques &amp; human'!C$3:C$38,'outliers per techniques &amp; human'!V55),'outliers per techniques &amp; human'!V55,"")</f>
        <v/>
      </c>
      <c r="E54" t="str">
        <f>IF(COUNTIF('outliers per techniques &amp; human'!D$3:D$38,'outliers per techniques &amp; human'!V55),'outliers per techniques &amp; human'!V55,"")</f>
        <v/>
      </c>
      <c r="F54" t="str">
        <f>IF(COUNTIF('outliers per techniques &amp; human'!E$3:E$24,'outliers per techniques &amp; human'!V55),'outliers per techniques &amp; human'!V55,"")</f>
        <v>sonycsl</v>
      </c>
      <c r="G54" t="str">
        <f>IF(COUNTIF('outliers per techniques &amp; human'!F$3:F$24,'outliers per techniques &amp; human'!V55),'outliers per techniques &amp; human'!V55,"")</f>
        <v/>
      </c>
      <c r="H54" t="str">
        <f>IF(COUNTIF('outliers per techniques &amp; human'!G$3:G$42,'outliers per techniques &amp; human'!V55),'outliers per techniques &amp; human'!V55,"")</f>
        <v>sonycsl</v>
      </c>
      <c r="I54" t="str">
        <f>IF(COUNTIF('outliers per techniques &amp; human'!H$3:H$42,'outliers per techniques &amp; human'!V55),'outliers per techniques &amp; human'!V55,"")</f>
        <v/>
      </c>
      <c r="J54" t="str">
        <f>IF(COUNTIF('outliers per techniques &amp; human'!I$3:I$21,'outliers per techniques &amp; human'!V55),'outliers per techniques &amp; human'!V55,"")</f>
        <v>sonycsl</v>
      </c>
      <c r="K54" t="str">
        <f>IF(COUNTIF('outliers per techniques &amp; human'!J$3:J$47,'outliers per techniques &amp; human'!V55),'outliers per techniques &amp; human'!V55,"")</f>
        <v>sonycsl</v>
      </c>
      <c r="L54" t="str">
        <f>IF(COUNTIF('outliers per techniques &amp; human'!K$3:K$78,'outliers per techniques &amp; human'!V55),'outliers per techniques &amp; human'!V55,"")</f>
        <v>sonycsl</v>
      </c>
      <c r="M54" t="str">
        <f>IF(COUNTIF('outliers per techniques &amp; human'!L$3:L$17,'outliers per techniques &amp; human'!V55),'outliers per techniques &amp; human'!V55,"")</f>
        <v>sonycsl</v>
      </c>
      <c r="N54" t="str">
        <f>IF(COUNTIF('outliers per techniques &amp; human'!M$3:M$200,'outliers per techniques &amp; human'!V55),'outliers per techniques &amp; human'!V55,"")</f>
        <v>sonycsl</v>
      </c>
      <c r="O54" t="str">
        <f>IF(COUNTIF('outliers per techniques &amp; human'!N$3:N$25,'outliers per techniques &amp; human'!V55),'outliers per techniques &amp; human'!V55,"")</f>
        <v/>
      </c>
      <c r="P54" t="str">
        <f>IF(COUNTIF('outliers per techniques &amp; human'!O$3:O$368,'outliers per techniques &amp; human'!V55),'outliers per techniques &amp; human'!V55,"")</f>
        <v/>
      </c>
    </row>
    <row r="55" spans="2:16" x14ac:dyDescent="0.25">
      <c r="B55" s="4" t="str">
        <f>IF(COUNTIF('outliers per techniques &amp; human'!A$3:A$28,'outliers per techniques &amp; human'!$V56),'outliers per techniques &amp; human'!$V56,"")</f>
        <v/>
      </c>
      <c r="C55" t="str">
        <f>IF(COUNTIF('outliers per techniques &amp; human'!B$3:B$28,'outliers per techniques &amp; human'!V56),'outliers per techniques &amp; human'!V56,"")</f>
        <v/>
      </c>
      <c r="D55" t="str">
        <f>IF(COUNTIF('outliers per techniques &amp; human'!C$3:C$38,'outliers per techniques &amp; human'!V56),'outliers per techniques &amp; human'!V56,"")</f>
        <v/>
      </c>
      <c r="E55" t="str">
        <f>IF(COUNTIF('outliers per techniques &amp; human'!D$3:D$38,'outliers per techniques &amp; human'!V56),'outliers per techniques &amp; human'!V56,"")</f>
        <v>networkx</v>
      </c>
      <c r="F55" t="str">
        <f>IF(COUNTIF('outliers per techniques &amp; human'!E$3:E$24,'outliers per techniques &amp; human'!V56),'outliers per techniques &amp; human'!V56,"")</f>
        <v/>
      </c>
      <c r="G55" t="str">
        <f>IF(COUNTIF('outliers per techniques &amp; human'!F$3:F$24,'outliers per techniques &amp; human'!V56),'outliers per techniques &amp; human'!V56,"")</f>
        <v/>
      </c>
      <c r="H55" t="str">
        <f>IF(COUNTIF('outliers per techniques &amp; human'!G$3:G$42,'outliers per techniques &amp; human'!V56),'outliers per techniques &amp; human'!V56,"")</f>
        <v/>
      </c>
      <c r="I55" t="str">
        <f>IF(COUNTIF('outliers per techniques &amp; human'!H$3:H$42,'outliers per techniques &amp; human'!V56),'outliers per techniques &amp; human'!V56,"")</f>
        <v/>
      </c>
      <c r="J55" t="str">
        <f>IF(COUNTIF('outliers per techniques &amp; human'!I$3:I$21,'outliers per techniques &amp; human'!V56),'outliers per techniques &amp; human'!V56,"")</f>
        <v/>
      </c>
      <c r="K55" t="str">
        <f>IF(COUNTIF('outliers per techniques &amp; human'!J$3:J$47,'outliers per techniques &amp; human'!V56),'outliers per techniques &amp; human'!V56,"")</f>
        <v/>
      </c>
      <c r="L55" t="str">
        <f>IF(COUNTIF('outliers per techniques &amp; human'!K$3:K$78,'outliers per techniques &amp; human'!V56),'outliers per techniques &amp; human'!V56,"")</f>
        <v/>
      </c>
      <c r="M55" t="str">
        <f>IF(COUNTIF('outliers per techniques &amp; human'!L$3:L$17,'outliers per techniques &amp; human'!V56),'outliers per techniques &amp; human'!V56,"")</f>
        <v/>
      </c>
      <c r="N55" t="str">
        <f>IF(COUNTIF('outliers per techniques &amp; human'!M$3:M$200,'outliers per techniques &amp; human'!V56),'outliers per techniques &amp; human'!V56,"")</f>
        <v/>
      </c>
      <c r="O55" t="str">
        <f>IF(COUNTIF('outliers per techniques &amp; human'!N$3:N$25,'outliers per techniques &amp; human'!V56),'outliers per techniques &amp; human'!V56,"")</f>
        <v/>
      </c>
      <c r="P55" t="str">
        <f>IF(COUNTIF('outliers per techniques &amp; human'!O$3:O$368,'outliers per techniques &amp; human'!V56),'outliers per techniques &amp; human'!V56,"")</f>
        <v/>
      </c>
    </row>
    <row r="56" spans="2:16" x14ac:dyDescent="0.25">
      <c r="B56" s="4" t="str">
        <f>IF(COUNTIF('outliers per techniques &amp; human'!A$3:A$28,'outliers per techniques &amp; human'!$V57),'outliers per techniques &amp; human'!$V57,"")</f>
        <v/>
      </c>
      <c r="C56" t="str">
        <f>IF(COUNTIF('outliers per techniques &amp; human'!B$3:B$28,'outliers per techniques &amp; human'!V57),'outliers per techniques &amp; human'!V57,"")</f>
        <v/>
      </c>
      <c r="D56" t="str">
        <f>IF(COUNTIF('outliers per techniques &amp; human'!C$3:C$38,'outliers per techniques &amp; human'!V57),'outliers per techniques &amp; human'!V57,"")</f>
        <v/>
      </c>
      <c r="E56" t="str">
        <f>IF(COUNTIF('outliers per techniques &amp; human'!D$3:D$38,'outliers per techniques &amp; human'!V57),'outliers per techniques &amp; human'!V57,"")</f>
        <v/>
      </c>
      <c r="F56" t="str">
        <f>IF(COUNTIF('outliers per techniques &amp; human'!E$3:E$24,'outliers per techniques &amp; human'!V57),'outliers per techniques &amp; human'!V57,"")</f>
        <v/>
      </c>
      <c r="G56" t="str">
        <f>IF(COUNTIF('outliers per techniques &amp; human'!F$3:F$24,'outliers per techniques &amp; human'!V57),'outliers per techniques &amp; human'!V57,"")</f>
        <v/>
      </c>
      <c r="H56" t="str">
        <f>IF(COUNTIF('outliers per techniques &amp; human'!G$3:G$42,'outliers per techniques &amp; human'!V57),'outliers per techniques &amp; human'!V57,"")</f>
        <v/>
      </c>
      <c r="I56" t="str">
        <f>IF(COUNTIF('outliers per techniques &amp; human'!H$3:H$42,'outliers per techniques &amp; human'!V57),'outliers per techniques &amp; human'!V57,"")</f>
        <v/>
      </c>
      <c r="J56" t="str">
        <f>IF(COUNTIF('outliers per techniques &amp; human'!I$3:I$21,'outliers per techniques &amp; human'!V57),'outliers per techniques &amp; human'!V57,"")</f>
        <v/>
      </c>
      <c r="K56" t="str">
        <f>IF(COUNTIF('outliers per techniques &amp; human'!J$3:J$47,'outliers per techniques &amp; human'!V57),'outliers per techniques &amp; human'!V57,"")</f>
        <v/>
      </c>
      <c r="L56" t="str">
        <f>IF(COUNTIF('outliers per techniques &amp; human'!K$3:K$78,'outliers per techniques &amp; human'!V57),'outliers per techniques &amp; human'!V57,"")</f>
        <v/>
      </c>
      <c r="M56" t="str">
        <f>IF(COUNTIF('outliers per techniques &amp; human'!L$3:L$17,'outliers per techniques &amp; human'!V57),'outliers per techniques &amp; human'!V57,"")</f>
        <v/>
      </c>
      <c r="N56" t="str">
        <f>IF(COUNTIF('outliers per techniques &amp; human'!M$3:M$200,'outliers per techniques &amp; human'!V57),'outliers per techniques &amp; human'!V57,"")</f>
        <v/>
      </c>
      <c r="O56" t="str">
        <f>IF(COUNTIF('outliers per techniques &amp; human'!N$3:N$25,'outliers per techniques &amp; human'!V57),'outliers per techniques &amp; human'!V57,"")</f>
        <v/>
      </c>
      <c r="P56" t="str">
        <f>IF(COUNTIF('outliers per techniques &amp; human'!O$3:O$368,'outliers per techniques &amp; human'!V57),'outliers per techniques &amp; human'!V57,"")</f>
        <v>allah</v>
      </c>
    </row>
    <row r="57" spans="2:16" x14ac:dyDescent="0.25">
      <c r="B57" s="4" t="str">
        <f>IF(COUNTIF('outliers per techniques &amp; human'!A$3:A$28,'outliers per techniques &amp; human'!$V58),'outliers per techniques &amp; human'!$V58,"")</f>
        <v/>
      </c>
      <c r="C57" t="str">
        <f>IF(COUNTIF('outliers per techniques &amp; human'!B$3:B$28,'outliers per techniques &amp; human'!V58),'outliers per techniques &amp; human'!V58,"")</f>
        <v/>
      </c>
      <c r="D57" t="str">
        <f>IF(COUNTIF('outliers per techniques &amp; human'!C$3:C$38,'outliers per techniques &amp; human'!V58),'outliers per techniques &amp; human'!V58,"")</f>
        <v/>
      </c>
      <c r="E57" t="str">
        <f>IF(COUNTIF('outliers per techniques &amp; human'!D$3:D$38,'outliers per techniques &amp; human'!V58),'outliers per techniques &amp; human'!V58,"")</f>
        <v/>
      </c>
      <c r="F57" t="str">
        <f>IF(COUNTIF('outliers per techniques &amp; human'!E$3:E$24,'outliers per techniques &amp; human'!V58),'outliers per techniques &amp; human'!V58,"")</f>
        <v/>
      </c>
      <c r="G57" t="str">
        <f>IF(COUNTIF('outliers per techniques &amp; human'!F$3:F$24,'outliers per techniques &amp; human'!V58),'outliers per techniques &amp; human'!V58,"")</f>
        <v/>
      </c>
      <c r="H57" t="str">
        <f>IF(COUNTIF('outliers per techniques &amp; human'!G$3:G$42,'outliers per techniques &amp; human'!V58),'outliers per techniques &amp; human'!V58,"")</f>
        <v/>
      </c>
      <c r="I57" t="str">
        <f>IF(COUNTIF('outliers per techniques &amp; human'!H$3:H$42,'outliers per techniques &amp; human'!V58),'outliers per techniques &amp; human'!V58,"")</f>
        <v/>
      </c>
      <c r="J57" t="str">
        <f>IF(COUNTIF('outliers per techniques &amp; human'!I$3:I$21,'outliers per techniques &amp; human'!V58),'outliers per techniques &amp; human'!V58,"")</f>
        <v/>
      </c>
      <c r="K57" t="str">
        <f>IF(COUNTIF('outliers per techniques &amp; human'!J$3:J$47,'outliers per techniques &amp; human'!V58),'outliers per techniques &amp; human'!V58,"")</f>
        <v/>
      </c>
      <c r="L57" t="str">
        <f>IF(COUNTIF('outliers per techniques &amp; human'!K$3:K$78,'outliers per techniques &amp; human'!V58),'outliers per techniques &amp; human'!V58,"")</f>
        <v/>
      </c>
      <c r="M57" t="str">
        <f>IF(COUNTIF('outliers per techniques &amp; human'!L$3:L$17,'outliers per techniques &amp; human'!V58),'outliers per techniques &amp; human'!V58,"")</f>
        <v/>
      </c>
      <c r="N57" t="str">
        <f>IF(COUNTIF('outliers per techniques &amp; human'!M$3:M$200,'outliers per techniques &amp; human'!V58),'outliers per techniques &amp; human'!V58,"")</f>
        <v/>
      </c>
      <c r="O57" t="str">
        <f>IF(COUNTIF('outliers per techniques &amp; human'!N$3:N$25,'outliers per techniques &amp; human'!V58),'outliers per techniques &amp; human'!V58,"")</f>
        <v/>
      </c>
      <c r="P57" t="str">
        <f>IF(COUNTIF('outliers per techniques &amp; human'!O$3:O$368,'outliers per techniques &amp; human'!V58),'outliers per techniques &amp; human'!V58,"")</f>
        <v>langmuir</v>
      </c>
    </row>
    <row r="58" spans="2:16" x14ac:dyDescent="0.25">
      <c r="B58" s="4" t="str">
        <f>IF(COUNTIF('outliers per techniques &amp; human'!A$3:A$28,'outliers per techniques &amp; human'!$V59),'outliers per techniques &amp; human'!$V59,"")</f>
        <v/>
      </c>
      <c r="C58" t="str">
        <f>IF(COUNTIF('outliers per techniques &amp; human'!B$3:B$28,'outliers per techniques &amp; human'!V59),'outliers per techniques &amp; human'!V59,"")</f>
        <v/>
      </c>
      <c r="D58" t="str">
        <f>IF(COUNTIF('outliers per techniques &amp; human'!C$3:C$38,'outliers per techniques &amp; human'!V59),'outliers per techniques &amp; human'!V59,"")</f>
        <v/>
      </c>
      <c r="E58" t="str">
        <f>IF(COUNTIF('outliers per techniques &amp; human'!D$3:D$38,'outliers per techniques &amp; human'!V59),'outliers per techniques &amp; human'!V59,"")</f>
        <v/>
      </c>
      <c r="F58" t="str">
        <f>IF(COUNTIF('outliers per techniques &amp; human'!E$3:E$24,'outliers per techniques &amp; human'!V59),'outliers per techniques &amp; human'!V59,"")</f>
        <v/>
      </c>
      <c r="G58" t="str">
        <f>IF(COUNTIF('outliers per techniques &amp; human'!F$3:F$24,'outliers per techniques &amp; human'!V59),'outliers per techniques &amp; human'!V59,"")</f>
        <v/>
      </c>
      <c r="H58" t="str">
        <f>IF(COUNTIF('outliers per techniques &amp; human'!G$3:G$42,'outliers per techniques &amp; human'!V59),'outliers per techniques &amp; human'!V59,"")</f>
        <v/>
      </c>
      <c r="I58" t="str">
        <f>IF(COUNTIF('outliers per techniques &amp; human'!H$3:H$42,'outliers per techniques &amp; human'!V59),'outliers per techniques &amp; human'!V59,"")</f>
        <v/>
      </c>
      <c r="J58" t="str">
        <f>IF(COUNTIF('outliers per techniques &amp; human'!I$3:I$21,'outliers per techniques &amp; human'!V59),'outliers per techniques &amp; human'!V59,"")</f>
        <v/>
      </c>
      <c r="K58" t="str">
        <f>IF(COUNTIF('outliers per techniques &amp; human'!J$3:J$47,'outliers per techniques &amp; human'!V59),'outliers per techniques &amp; human'!V59,"")</f>
        <v/>
      </c>
      <c r="L58" t="str">
        <f>IF(COUNTIF('outliers per techniques &amp; human'!K$3:K$78,'outliers per techniques &amp; human'!V59),'outliers per techniques &amp; human'!V59,"")</f>
        <v/>
      </c>
      <c r="M58" t="str">
        <f>IF(COUNTIF('outliers per techniques &amp; human'!L$3:L$17,'outliers per techniques &amp; human'!V59),'outliers per techniques &amp; human'!V59,"")</f>
        <v/>
      </c>
      <c r="N58" t="str">
        <f>IF(COUNTIF('outliers per techniques &amp; human'!M$3:M$200,'outliers per techniques &amp; human'!V59),'outliers per techniques &amp; human'!V59,"")</f>
        <v>computergraphik</v>
      </c>
      <c r="O58" t="str">
        <f>IF(COUNTIF('outliers per techniques &amp; human'!N$3:N$25,'outliers per techniques &amp; human'!V59),'outliers per techniques &amp; human'!V59,"")</f>
        <v/>
      </c>
      <c r="P58" t="str">
        <f>IF(COUNTIF('outliers per techniques &amp; human'!O$3:O$368,'outliers per techniques &amp; human'!V59),'outliers per techniques &amp; human'!V59,"")</f>
        <v/>
      </c>
    </row>
    <row r="59" spans="2:16" x14ac:dyDescent="0.25">
      <c r="B59" s="4" t="str">
        <f>IF(COUNTIF('outliers per techniques &amp; human'!A$3:A$28,'outliers per techniques &amp; human'!$V60),'outliers per techniques &amp; human'!$V60,"")</f>
        <v/>
      </c>
      <c r="C59" t="str">
        <f>IF(COUNTIF('outliers per techniques &amp; human'!B$3:B$28,'outliers per techniques &amp; human'!V60),'outliers per techniques &amp; human'!V60,"")</f>
        <v/>
      </c>
      <c r="D59" t="str">
        <f>IF(COUNTIF('outliers per techniques &amp; human'!C$3:C$38,'outliers per techniques &amp; human'!V60),'outliers per techniques &amp; human'!V60,"")</f>
        <v/>
      </c>
      <c r="E59" t="str">
        <f>IF(COUNTIF('outliers per techniques &amp; human'!D$3:D$38,'outliers per techniques &amp; human'!V60),'outliers per techniques &amp; human'!V60,"")</f>
        <v/>
      </c>
      <c r="F59" t="str">
        <f>IF(COUNTIF('outliers per techniques &amp; human'!E$3:E$24,'outliers per techniques &amp; human'!V60),'outliers per techniques &amp; human'!V60,"")</f>
        <v/>
      </c>
      <c r="G59" t="str">
        <f>IF(COUNTIF('outliers per techniques &amp; human'!F$3:F$24,'outliers per techniques &amp; human'!V60),'outliers per techniques &amp; human'!V60,"")</f>
        <v/>
      </c>
      <c r="H59" t="str">
        <f>IF(COUNTIF('outliers per techniques &amp; human'!G$3:G$42,'outliers per techniques &amp; human'!V60),'outliers per techniques &amp; human'!V60,"")</f>
        <v/>
      </c>
      <c r="I59" t="str">
        <f>IF(COUNTIF('outliers per techniques &amp; human'!H$3:H$42,'outliers per techniques &amp; human'!V60),'outliers per techniques &amp; human'!V60,"")</f>
        <v/>
      </c>
      <c r="J59" t="str">
        <f>IF(COUNTIF('outliers per techniques &amp; human'!I$3:I$21,'outliers per techniques &amp; human'!V60),'outliers per techniques &amp; human'!V60,"")</f>
        <v/>
      </c>
      <c r="K59" t="str">
        <f>IF(COUNTIF('outliers per techniques &amp; human'!J$3:J$47,'outliers per techniques &amp; human'!V60),'outliers per techniques &amp; human'!V60,"")</f>
        <v/>
      </c>
      <c r="L59" t="str">
        <f>IF(COUNTIF('outliers per techniques &amp; human'!K$3:K$78,'outliers per techniques &amp; human'!V60),'outliers per techniques &amp; human'!V60,"")</f>
        <v/>
      </c>
      <c r="M59" t="str">
        <f>IF(COUNTIF('outliers per techniques &amp; human'!L$3:L$17,'outliers per techniques &amp; human'!V60),'outliers per techniques &amp; human'!V60,"")</f>
        <v/>
      </c>
      <c r="N59" t="str">
        <f>IF(COUNTIF('outliers per techniques &amp; human'!M$3:M$200,'outliers per techniques &amp; human'!V60),'outliers per techniques &amp; human'!V60,"")</f>
        <v>weinberg</v>
      </c>
      <c r="O59" t="str">
        <f>IF(COUNTIF('outliers per techniques &amp; human'!N$3:N$25,'outliers per techniques &amp; human'!V60),'outliers per techniques &amp; human'!V60,"")</f>
        <v/>
      </c>
      <c r="P59" t="str">
        <f>IF(COUNTIF('outliers per techniques &amp; human'!O$3:O$368,'outliers per techniques &amp; human'!V60),'outliers per techniques &amp; human'!V60,"")</f>
        <v/>
      </c>
    </row>
    <row r="60" spans="2:16" x14ac:dyDescent="0.25">
      <c r="B60" s="4" t="str">
        <f>IF(COUNTIF('outliers per techniques &amp; human'!A$3:A$28,'outliers per techniques &amp; human'!$V61),'outliers per techniques &amp; human'!$V61,"")</f>
        <v/>
      </c>
      <c r="C60" t="str">
        <f>IF(COUNTIF('outliers per techniques &amp; human'!B$3:B$28,'outliers per techniques &amp; human'!V61),'outliers per techniques &amp; human'!V61,"")</f>
        <v/>
      </c>
      <c r="D60" t="str">
        <f>IF(COUNTIF('outliers per techniques &amp; human'!C$3:C$38,'outliers per techniques &amp; human'!V61),'outliers per techniques &amp; human'!V61,"")</f>
        <v/>
      </c>
      <c r="E60" t="str">
        <f>IF(COUNTIF('outliers per techniques &amp; human'!D$3:D$38,'outliers per techniques &amp; human'!V61),'outliers per techniques &amp; human'!V61,"")</f>
        <v/>
      </c>
      <c r="F60" t="str">
        <f>IF(COUNTIF('outliers per techniques &amp; human'!E$3:E$24,'outliers per techniques &amp; human'!V61),'outliers per techniques &amp; human'!V61,"")</f>
        <v/>
      </c>
      <c r="G60" t="str">
        <f>IF(COUNTIF('outliers per techniques &amp; human'!F$3:F$24,'outliers per techniques &amp; human'!V61),'outliers per techniques &amp; human'!V61,"")</f>
        <v/>
      </c>
      <c r="H60" t="str">
        <f>IF(COUNTIF('outliers per techniques &amp; human'!G$3:G$42,'outliers per techniques &amp; human'!V61),'outliers per techniques &amp; human'!V61,"")</f>
        <v/>
      </c>
      <c r="I60" t="str">
        <f>IF(COUNTIF('outliers per techniques &amp; human'!H$3:H$42,'outliers per techniques &amp; human'!V61),'outliers per techniques &amp; human'!V61,"")</f>
        <v/>
      </c>
      <c r="J60" t="str">
        <f>IF(COUNTIF('outliers per techniques &amp; human'!I$3:I$21,'outliers per techniques &amp; human'!V61),'outliers per techniques &amp; human'!V61,"")</f>
        <v/>
      </c>
      <c r="K60" t="str">
        <f>IF(COUNTIF('outliers per techniques &amp; human'!J$3:J$47,'outliers per techniques &amp; human'!V61),'outliers per techniques &amp; human'!V61,"")</f>
        <v/>
      </c>
      <c r="L60" t="str">
        <f>IF(COUNTIF('outliers per techniques &amp; human'!K$3:K$78,'outliers per techniques &amp; human'!V61),'outliers per techniques &amp; human'!V61,"")</f>
        <v/>
      </c>
      <c r="M60" t="str">
        <f>IF(COUNTIF('outliers per techniques &amp; human'!L$3:L$17,'outliers per techniques &amp; human'!V61),'outliers per techniques &amp; human'!V61,"")</f>
        <v/>
      </c>
      <c r="N60" t="str">
        <f>IF(COUNTIF('outliers per techniques &amp; human'!M$3:M$200,'outliers per techniques &amp; human'!V61),'outliers per techniques &amp; human'!V61,"")</f>
        <v>papsttum</v>
      </c>
      <c r="O60" t="str">
        <f>IF(COUNTIF('outliers per techniques &amp; human'!N$3:N$25,'outliers per techniques &amp; human'!V61),'outliers per techniques &amp; human'!V61,"")</f>
        <v/>
      </c>
      <c r="P60" t="str">
        <f>IF(COUNTIF('outliers per techniques &amp; human'!O$3:O$368,'outliers per techniques &amp; human'!V61),'outliers per techniques &amp; human'!V61,"")</f>
        <v/>
      </c>
    </row>
    <row r="61" spans="2:16" x14ac:dyDescent="0.25">
      <c r="B61" s="4" t="str">
        <f>IF(COUNTIF('outliers per techniques &amp; human'!A$3:A$28,'outliers per techniques &amp; human'!$V62),'outliers per techniques &amp; human'!$V62,"")</f>
        <v/>
      </c>
      <c r="C61" t="str">
        <f>IF(COUNTIF('outliers per techniques &amp; human'!B$3:B$28,'outliers per techniques &amp; human'!V62),'outliers per techniques &amp; human'!V62,"")</f>
        <v/>
      </c>
      <c r="D61" t="str">
        <f>IF(COUNTIF('outliers per techniques &amp; human'!C$3:C$38,'outliers per techniques &amp; human'!V62),'outliers per techniques &amp; human'!V62,"")</f>
        <v/>
      </c>
      <c r="E61" t="str">
        <f>IF(COUNTIF('outliers per techniques &amp; human'!D$3:D$38,'outliers per techniques &amp; human'!V62),'outliers per techniques &amp; human'!V62,"")</f>
        <v/>
      </c>
      <c r="F61" t="str">
        <f>IF(COUNTIF('outliers per techniques &amp; human'!E$3:E$24,'outliers per techniques &amp; human'!V62),'outliers per techniques &amp; human'!V62,"")</f>
        <v/>
      </c>
      <c r="G61" t="str">
        <f>IF(COUNTIF('outliers per techniques &amp; human'!F$3:F$24,'outliers per techniques &amp; human'!V62),'outliers per techniques &amp; human'!V62,"")</f>
        <v/>
      </c>
      <c r="H61" t="str">
        <f>IF(COUNTIF('outliers per techniques &amp; human'!G$3:G$42,'outliers per techniques &amp; human'!V62),'outliers per techniques &amp; human'!V62,"")</f>
        <v/>
      </c>
      <c r="I61" t="str">
        <f>IF(COUNTIF('outliers per techniques &amp; human'!H$3:H$42,'outliers per techniques &amp; human'!V62),'outliers per techniques &amp; human'!V62,"")</f>
        <v/>
      </c>
      <c r="J61" t="str">
        <f>IF(COUNTIF('outliers per techniques &amp; human'!I$3:I$21,'outliers per techniques &amp; human'!V62),'outliers per techniques &amp; human'!V62,"")</f>
        <v/>
      </c>
      <c r="K61" t="str">
        <f>IF(COUNTIF('outliers per techniques &amp; human'!J$3:J$47,'outliers per techniques &amp; human'!V62),'outliers per techniques &amp; human'!V62,"")</f>
        <v/>
      </c>
      <c r="L61" t="str">
        <f>IF(COUNTIF('outliers per techniques &amp; human'!K$3:K$78,'outliers per techniques &amp; human'!V62),'outliers per techniques &amp; human'!V62,"")</f>
        <v/>
      </c>
      <c r="M61" t="str">
        <f>IF(COUNTIF('outliers per techniques &amp; human'!L$3:L$17,'outliers per techniques &amp; human'!V62),'outliers per techniques &amp; human'!V62,"")</f>
        <v/>
      </c>
      <c r="N61" t="str">
        <f>IF(COUNTIF('outliers per techniques &amp; human'!M$3:M$200,'outliers per techniques &amp; human'!V62),'outliers per techniques &amp; human'!V62,"")</f>
        <v/>
      </c>
      <c r="O61" t="str">
        <f>IF(COUNTIF('outliers per techniques &amp; human'!N$3:N$25,'outliers per techniques &amp; human'!V62),'outliers per techniques &amp; human'!V62,"")</f>
        <v/>
      </c>
      <c r="P61" t="str">
        <f>IF(COUNTIF('outliers per techniques &amp; human'!O$3:O$368,'outliers per techniques &amp; human'!V62),'outliers per techniques &amp; human'!V62,"")</f>
        <v>animat</v>
      </c>
    </row>
    <row r="62" spans="2:16" x14ac:dyDescent="0.25">
      <c r="B62" s="4" t="str">
        <f>IF(COUNTIF('outliers per techniques &amp; human'!A$3:A$28,'outliers per techniques &amp; human'!$V63),'outliers per techniques &amp; human'!$V63,"")</f>
        <v/>
      </c>
      <c r="C62" t="str">
        <f>IF(COUNTIF('outliers per techniques &amp; human'!B$3:B$28,'outliers per techniques &amp; human'!V63),'outliers per techniques &amp; human'!V63,"")</f>
        <v/>
      </c>
      <c r="D62" t="str">
        <f>IF(COUNTIF('outliers per techniques &amp; human'!C$3:C$38,'outliers per techniques &amp; human'!V63),'outliers per techniques &amp; human'!V63,"")</f>
        <v/>
      </c>
      <c r="E62" t="str">
        <f>IF(COUNTIF('outliers per techniques &amp; human'!D$3:D$38,'outliers per techniques &amp; human'!V63),'outliers per techniques &amp; human'!V63,"")</f>
        <v/>
      </c>
      <c r="F62" t="str">
        <f>IF(COUNTIF('outliers per techniques &amp; human'!E$3:E$24,'outliers per techniques &amp; human'!V63),'outliers per techniques &amp; human'!V63,"")</f>
        <v/>
      </c>
      <c r="G62" t="str">
        <f>IF(COUNTIF('outliers per techniques &amp; human'!F$3:F$24,'outliers per techniques &amp; human'!V63),'outliers per techniques &amp; human'!V63,"")</f>
        <v/>
      </c>
      <c r="H62" t="str">
        <f>IF(COUNTIF('outliers per techniques &amp; human'!G$3:G$42,'outliers per techniques &amp; human'!V63),'outliers per techniques &amp; human'!V63,"")</f>
        <v/>
      </c>
      <c r="I62" t="str">
        <f>IF(COUNTIF('outliers per techniques &amp; human'!H$3:H$42,'outliers per techniques &amp; human'!V63),'outliers per techniques &amp; human'!V63,"")</f>
        <v/>
      </c>
      <c r="J62" t="str">
        <f>IF(COUNTIF('outliers per techniques &amp; human'!I$3:I$21,'outliers per techniques &amp; human'!V63),'outliers per techniques &amp; human'!V63,"")</f>
        <v/>
      </c>
      <c r="K62" t="str">
        <f>IF(COUNTIF('outliers per techniques &amp; human'!J$3:J$47,'outliers per techniques &amp; human'!V63),'outliers per techniques &amp; human'!V63,"")</f>
        <v/>
      </c>
      <c r="L62" t="str">
        <f>IF(COUNTIF('outliers per techniques &amp; human'!K$3:K$78,'outliers per techniques &amp; human'!V63),'outliers per techniques &amp; human'!V63,"")</f>
        <v/>
      </c>
      <c r="M62" t="str">
        <f>IF(COUNTIF('outliers per techniques &amp; human'!L$3:L$17,'outliers per techniques &amp; human'!V63),'outliers per techniques &amp; human'!V63,"")</f>
        <v/>
      </c>
      <c r="N62" t="str">
        <f>IF(COUNTIF('outliers per techniques &amp; human'!M$3:M$200,'outliers per techniques &amp; human'!V63),'outliers per techniques &amp; human'!V63,"")</f>
        <v>klassifikationstheorie</v>
      </c>
      <c r="O62" t="str">
        <f>IF(COUNTIF('outliers per techniques &amp; human'!N$3:N$25,'outliers per techniques &amp; human'!V63),'outliers per techniques &amp; human'!V63,"")</f>
        <v/>
      </c>
      <c r="P62" t="str">
        <f>IF(COUNTIF('outliers per techniques &amp; human'!O$3:O$368,'outliers per techniques &amp; human'!V63),'outliers per techniques &amp; human'!V63,"")</f>
        <v/>
      </c>
    </row>
    <row r="63" spans="2:16" x14ac:dyDescent="0.25">
      <c r="B63" s="4" t="str">
        <f>IF(COUNTIF('outliers per techniques &amp; human'!A$3:A$28,'outliers per techniques &amp; human'!$V64),'outliers per techniques &amp; human'!$V64,"")</f>
        <v/>
      </c>
      <c r="C63" t="str">
        <f>IF(COUNTIF('outliers per techniques &amp; human'!B$3:B$28,'outliers per techniques &amp; human'!V64),'outliers per techniques &amp; human'!V64,"")</f>
        <v/>
      </c>
      <c r="D63" t="str">
        <f>IF(COUNTIF('outliers per techniques &amp; human'!C$3:C$38,'outliers per techniques &amp; human'!V64),'outliers per techniques &amp; human'!V64,"")</f>
        <v/>
      </c>
      <c r="E63" t="str">
        <f>IF(COUNTIF('outliers per techniques &amp; human'!D$3:D$38,'outliers per techniques &amp; human'!V64),'outliers per techniques &amp; human'!V64,"")</f>
        <v/>
      </c>
      <c r="F63" t="str">
        <f>IF(COUNTIF('outliers per techniques &amp; human'!E$3:E$24,'outliers per techniques &amp; human'!V64),'outliers per techniques &amp; human'!V64,"")</f>
        <v/>
      </c>
      <c r="G63" t="str">
        <f>IF(COUNTIF('outliers per techniques &amp; human'!F$3:F$24,'outliers per techniques &amp; human'!V64),'outliers per techniques &amp; human'!V64,"")</f>
        <v/>
      </c>
      <c r="H63" t="str">
        <f>IF(COUNTIF('outliers per techniques &amp; human'!G$3:G$42,'outliers per techniques &amp; human'!V64),'outliers per techniques &amp; human'!V64,"")</f>
        <v/>
      </c>
      <c r="I63" t="str">
        <f>IF(COUNTIF('outliers per techniques &amp; human'!H$3:H$42,'outliers per techniques &amp; human'!V64),'outliers per techniques &amp; human'!V64,"")</f>
        <v/>
      </c>
      <c r="J63" t="str">
        <f>IF(COUNTIF('outliers per techniques &amp; human'!I$3:I$21,'outliers per techniques &amp; human'!V64),'outliers per techniques &amp; human'!V64,"")</f>
        <v/>
      </c>
      <c r="K63" t="str">
        <f>IF(COUNTIF('outliers per techniques &amp; human'!J$3:J$47,'outliers per techniques &amp; human'!V64),'outliers per techniques &amp; human'!V64,"")</f>
        <v/>
      </c>
      <c r="L63" t="str">
        <f>IF(COUNTIF('outliers per techniques &amp; human'!K$3:K$78,'outliers per techniques &amp; human'!V64),'outliers per techniques &amp; human'!V64,"")</f>
        <v/>
      </c>
      <c r="M63" t="str">
        <f>IF(COUNTIF('outliers per techniques &amp; human'!L$3:L$17,'outliers per techniques &amp; human'!V64),'outliers per techniques &amp; human'!V64,"")</f>
        <v/>
      </c>
      <c r="N63" t="str">
        <f>IF(COUNTIF('outliers per techniques &amp; human'!M$3:M$200,'outliers per techniques &amp; human'!V64),'outliers per techniques &amp; human'!V64,"")</f>
        <v/>
      </c>
      <c r="O63" t="str">
        <f>IF(COUNTIF('outliers per techniques &amp; human'!N$3:N$25,'outliers per techniques &amp; human'!V64),'outliers per techniques &amp; human'!V64,"")</f>
        <v/>
      </c>
      <c r="P63" t="str">
        <f>IF(COUNTIF('outliers per techniques &amp; human'!O$3:O$368,'outliers per techniques &amp; human'!V64),'outliers per techniques &amp; human'!V64,"")</f>
        <v>informaci'on</v>
      </c>
    </row>
    <row r="64" spans="2:16" x14ac:dyDescent="0.25">
      <c r="B64" s="4" t="str">
        <f>IF(COUNTIF('outliers per techniques &amp; human'!A$3:A$28,'outliers per techniques &amp; human'!$V65),'outliers per techniques &amp; human'!$V65,"")</f>
        <v/>
      </c>
      <c r="C64" t="str">
        <f>IF(COUNTIF('outliers per techniques &amp; human'!B$3:B$28,'outliers per techniques &amp; human'!V65),'outliers per techniques &amp; human'!V65,"")</f>
        <v/>
      </c>
      <c r="D64" t="str">
        <f>IF(COUNTIF('outliers per techniques &amp; human'!C$3:C$38,'outliers per techniques &amp; human'!V65),'outliers per techniques &amp; human'!V65,"")</f>
        <v/>
      </c>
      <c r="E64" t="str">
        <f>IF(COUNTIF('outliers per techniques &amp; human'!D$3:D$38,'outliers per techniques &amp; human'!V65),'outliers per techniques &amp; human'!V65,"")</f>
        <v/>
      </c>
      <c r="F64" t="str">
        <f>IF(COUNTIF('outliers per techniques &amp; human'!E$3:E$24,'outliers per techniques &amp; human'!V65),'outliers per techniques &amp; human'!V65,"")</f>
        <v/>
      </c>
      <c r="G64" t="str">
        <f>IF(COUNTIF('outliers per techniques &amp; human'!F$3:F$24,'outliers per techniques &amp; human'!V65),'outliers per techniques &amp; human'!V65,"")</f>
        <v/>
      </c>
      <c r="H64" t="str">
        <f>IF(COUNTIF('outliers per techniques &amp; human'!G$3:G$42,'outliers per techniques &amp; human'!V65),'outliers per techniques &amp; human'!V65,"")</f>
        <v/>
      </c>
      <c r="I64" t="str">
        <f>IF(COUNTIF('outliers per techniques &amp; human'!H$3:H$42,'outliers per techniques &amp; human'!V65),'outliers per techniques &amp; human'!V65,"")</f>
        <v/>
      </c>
      <c r="J64" t="str">
        <f>IF(COUNTIF('outliers per techniques &amp; human'!I$3:I$21,'outliers per techniques &amp; human'!V65),'outliers per techniques &amp; human'!V65,"")</f>
        <v/>
      </c>
      <c r="K64" t="str">
        <f>IF(COUNTIF('outliers per techniques &amp; human'!J$3:J$47,'outliers per techniques &amp; human'!V65),'outliers per techniques &amp; human'!V65,"")</f>
        <v/>
      </c>
      <c r="L64" t="str">
        <f>IF(COUNTIF('outliers per techniques &amp; human'!K$3:K$78,'outliers per techniques &amp; human'!V65),'outliers per techniques &amp; human'!V65,"")</f>
        <v/>
      </c>
      <c r="M64" t="str">
        <f>IF(COUNTIF('outliers per techniques &amp; human'!L$3:L$17,'outliers per techniques &amp; human'!V65),'outliers per techniques &amp; human'!V65,"")</f>
        <v/>
      </c>
      <c r="N64" t="str">
        <f>IF(COUNTIF('outliers per techniques &amp; human'!M$3:M$200,'outliers per techniques &amp; human'!V65),'outliers per techniques &amp; human'!V65,"")</f>
        <v/>
      </c>
      <c r="O64" t="str">
        <f>IF(COUNTIF('outliers per techniques &amp; human'!N$3:N$25,'outliers per techniques &amp; human'!V65),'outliers per techniques &amp; human'!V65,"")</f>
        <v/>
      </c>
      <c r="P64" t="str">
        <f>IF(COUNTIF('outliers per techniques &amp; human'!O$3:O$368,'outliers per techniques &amp; human'!V65),'outliers per techniques &amp; human'!V65,"")</f>
        <v>soboleo</v>
      </c>
    </row>
    <row r="65" spans="2:16" x14ac:dyDescent="0.25">
      <c r="B65" s="4" t="str">
        <f>IF(COUNTIF('outliers per techniques &amp; human'!A$3:A$28,'outliers per techniques &amp; human'!$V66),'outliers per techniques &amp; human'!$V66,"")</f>
        <v/>
      </c>
      <c r="C65" t="str">
        <f>IF(COUNTIF('outliers per techniques &amp; human'!B$3:B$28,'outliers per techniques &amp; human'!V66),'outliers per techniques &amp; human'!V66,"")</f>
        <v/>
      </c>
      <c r="D65" t="str">
        <f>IF(COUNTIF('outliers per techniques &amp; human'!C$3:C$38,'outliers per techniques &amp; human'!V66),'outliers per techniques &amp; human'!V66,"")</f>
        <v/>
      </c>
      <c r="E65" t="str">
        <f>IF(COUNTIF('outliers per techniques &amp; human'!D$3:D$38,'outliers per techniques &amp; human'!V66),'outliers per techniques &amp; human'!V66,"")</f>
        <v/>
      </c>
      <c r="F65" t="str">
        <f>IF(COUNTIF('outliers per techniques &amp; human'!E$3:E$24,'outliers per techniques &amp; human'!V66),'outliers per techniques &amp; human'!V66,"")</f>
        <v/>
      </c>
      <c r="G65" t="str">
        <f>IF(COUNTIF('outliers per techniques &amp; human'!F$3:F$24,'outliers per techniques &amp; human'!V66),'outliers per techniques &amp; human'!V66,"")</f>
        <v/>
      </c>
      <c r="H65" t="str">
        <f>IF(COUNTIF('outliers per techniques &amp; human'!G$3:G$42,'outliers per techniques &amp; human'!V66),'outliers per techniques &amp; human'!V66,"")</f>
        <v/>
      </c>
      <c r="I65" t="str">
        <f>IF(COUNTIF('outliers per techniques &amp; human'!H$3:H$42,'outliers per techniques &amp; human'!V66),'outliers per techniques &amp; human'!V66,"")</f>
        <v/>
      </c>
      <c r="J65" t="str">
        <f>IF(COUNTIF('outliers per techniques &amp; human'!I$3:I$21,'outliers per techniques &amp; human'!V66),'outliers per techniques &amp; human'!V66,"")</f>
        <v/>
      </c>
      <c r="K65" t="str">
        <f>IF(COUNTIF('outliers per techniques &amp; human'!J$3:J$47,'outliers per techniques &amp; human'!V66),'outliers per techniques &amp; human'!V66,"")</f>
        <v/>
      </c>
      <c r="L65" t="str">
        <f>IF(COUNTIF('outliers per techniques &amp; human'!K$3:K$78,'outliers per techniques &amp; human'!V66),'outliers per techniques &amp; human'!V66,"")</f>
        <v/>
      </c>
      <c r="M65" t="str">
        <f>IF(COUNTIF('outliers per techniques &amp; human'!L$3:L$17,'outliers per techniques &amp; human'!V66),'outliers per techniques &amp; human'!V66,"")</f>
        <v/>
      </c>
      <c r="N65" t="str">
        <f>IF(COUNTIF('outliers per techniques &amp; human'!M$3:M$200,'outliers per techniques &amp; human'!V66),'outliers per techniques &amp; human'!V66,"")</f>
        <v>informationsdienstleistungen</v>
      </c>
      <c r="O65" t="str">
        <f>IF(COUNTIF('outliers per techniques &amp; human'!N$3:N$25,'outliers per techniques &amp; human'!V66),'outliers per techniques &amp; human'!V66,"")</f>
        <v/>
      </c>
      <c r="P65" t="str">
        <f>IF(COUNTIF('outliers per techniques &amp; human'!O$3:O$368,'outliers per techniques &amp; human'!V66),'outliers per techniques &amp; human'!V66,"")</f>
        <v/>
      </c>
    </row>
    <row r="66" spans="2:16" x14ac:dyDescent="0.25">
      <c r="B66" s="4" t="str">
        <f>IF(COUNTIF('outliers per techniques &amp; human'!A$3:A$28,'outliers per techniques &amp; human'!$V67),'outliers per techniques &amp; human'!$V67,"")</f>
        <v/>
      </c>
      <c r="C66" t="str">
        <f>IF(COUNTIF('outliers per techniques &amp; human'!B$3:B$28,'outliers per techniques &amp; human'!V67),'outliers per techniques &amp; human'!V67,"")</f>
        <v/>
      </c>
      <c r="D66" t="str">
        <f>IF(COUNTIF('outliers per techniques &amp; human'!C$3:C$38,'outliers per techniques &amp; human'!V67),'outliers per techniques &amp; human'!V67,"")</f>
        <v/>
      </c>
      <c r="E66" t="str">
        <f>IF(COUNTIF('outliers per techniques &amp; human'!D$3:D$38,'outliers per techniques &amp; human'!V67),'outliers per techniques &amp; human'!V67,"")</f>
        <v/>
      </c>
      <c r="F66" t="str">
        <f>IF(COUNTIF('outliers per techniques &amp; human'!E$3:E$24,'outliers per techniques &amp; human'!V67),'outliers per techniques &amp; human'!V67,"")</f>
        <v/>
      </c>
      <c r="G66" t="str">
        <f>IF(COUNTIF('outliers per techniques &amp; human'!F$3:F$24,'outliers per techniques &amp; human'!V67),'outliers per techniques &amp; human'!V67,"")</f>
        <v/>
      </c>
      <c r="H66" t="str">
        <f>IF(COUNTIF('outliers per techniques &amp; human'!G$3:G$42,'outliers per techniques &amp; human'!V67),'outliers per techniques &amp; human'!V67,"")</f>
        <v/>
      </c>
      <c r="I66" t="str">
        <f>IF(COUNTIF('outliers per techniques &amp; human'!H$3:H$42,'outliers per techniques &amp; human'!V67),'outliers per techniques &amp; human'!V67,"")</f>
        <v/>
      </c>
      <c r="J66" t="str">
        <f>IF(COUNTIF('outliers per techniques &amp; human'!I$3:I$21,'outliers per techniques &amp; human'!V67),'outliers per techniques &amp; human'!V67,"")</f>
        <v/>
      </c>
      <c r="K66" t="str">
        <f>IF(COUNTIF('outliers per techniques &amp; human'!J$3:J$47,'outliers per techniques &amp; human'!V67),'outliers per techniques &amp; human'!V67,"")</f>
        <v/>
      </c>
      <c r="L66" t="str">
        <f>IF(COUNTIF('outliers per techniques &amp; human'!K$3:K$78,'outliers per techniques &amp; human'!V67),'outliers per techniques &amp; human'!V67,"")</f>
        <v/>
      </c>
      <c r="M66" t="str">
        <f>IF(COUNTIF('outliers per techniques &amp; human'!L$3:L$17,'outliers per techniques &amp; human'!V67),'outliers per techniques &amp; human'!V67,"")</f>
        <v>religionskritik</v>
      </c>
      <c r="N66" t="str">
        <f>IF(COUNTIF('outliers per techniques &amp; human'!M$3:M$200,'outliers per techniques &amp; human'!V67),'outliers per techniques &amp; human'!V67,"")</f>
        <v>religionskritik</v>
      </c>
      <c r="O66" t="str">
        <f>IF(COUNTIF('outliers per techniques &amp; human'!N$3:N$25,'outliers per techniques &amp; human'!V67),'outliers per techniques &amp; human'!V67,"")</f>
        <v/>
      </c>
      <c r="P66" t="str">
        <f>IF(COUNTIF('outliers per techniques &amp; human'!O$3:O$368,'outliers per techniques &amp; human'!V67),'outliers per techniques &amp; human'!V67,"")</f>
        <v>religionskritik</v>
      </c>
    </row>
    <row r="67" spans="2:16" x14ac:dyDescent="0.25">
      <c r="B67" s="4" t="str">
        <f>IF(COUNTIF('outliers per techniques &amp; human'!A$3:A$28,'outliers per techniques &amp; human'!$V68),'outliers per techniques &amp; human'!$V68,"")</f>
        <v/>
      </c>
      <c r="C67" t="str">
        <f>IF(COUNTIF('outliers per techniques &amp; human'!B$3:B$28,'outliers per techniques &amp; human'!V68),'outliers per techniques &amp; human'!V68,"")</f>
        <v/>
      </c>
      <c r="D67" t="str">
        <f>IF(COUNTIF('outliers per techniques &amp; human'!C$3:C$38,'outliers per techniques &amp; human'!V68),'outliers per techniques &amp; human'!V68,"")</f>
        <v/>
      </c>
      <c r="E67" t="str">
        <f>IF(COUNTIF('outliers per techniques &amp; human'!D$3:D$38,'outliers per techniques &amp; human'!V68),'outliers per techniques &amp; human'!V68,"")</f>
        <v/>
      </c>
      <c r="F67" t="str">
        <f>IF(COUNTIF('outliers per techniques &amp; human'!E$3:E$24,'outliers per techniques &amp; human'!V68),'outliers per techniques &amp; human'!V68,"")</f>
        <v/>
      </c>
      <c r="G67" t="str">
        <f>IF(COUNTIF('outliers per techniques &amp; human'!F$3:F$24,'outliers per techniques &amp; human'!V68),'outliers per techniques &amp; human'!V68,"")</f>
        <v/>
      </c>
      <c r="H67" t="str">
        <f>IF(COUNTIF('outliers per techniques &amp; human'!G$3:G$42,'outliers per techniques &amp; human'!V68),'outliers per techniques &amp; human'!V68,"")</f>
        <v/>
      </c>
      <c r="I67" t="str">
        <f>IF(COUNTIF('outliers per techniques &amp; human'!H$3:H$42,'outliers per techniques &amp; human'!V68),'outliers per techniques &amp; human'!V68,"")</f>
        <v/>
      </c>
      <c r="J67" t="str">
        <f>IF(COUNTIF('outliers per techniques &amp; human'!I$3:I$21,'outliers per techniques &amp; human'!V68),'outliers per techniques &amp; human'!V68,"")</f>
        <v/>
      </c>
      <c r="K67" t="str">
        <f>IF(COUNTIF('outliers per techniques &amp; human'!J$3:J$47,'outliers per techniques &amp; human'!V68),'outliers per techniques &amp; human'!V68,"")</f>
        <v/>
      </c>
      <c r="L67" t="str">
        <f>IF(COUNTIF('outliers per techniques &amp; human'!K$3:K$78,'outliers per techniques &amp; human'!V68),'outliers per techniques &amp; human'!V68,"")</f>
        <v/>
      </c>
      <c r="M67" t="str">
        <f>IF(COUNTIF('outliers per techniques &amp; human'!L$3:L$17,'outliers per techniques &amp; human'!V68),'outliers per techniques &amp; human'!V68,"")</f>
        <v/>
      </c>
      <c r="N67" t="str">
        <f>IF(COUNTIF('outliers per techniques &amp; human'!M$3:M$200,'outliers per techniques &amp; human'!V68),'outliers per techniques &amp; human'!V68,"")</f>
        <v/>
      </c>
      <c r="O67" t="str">
        <f>IF(COUNTIF('outliers per techniques &amp; human'!N$3:N$25,'outliers per techniques &amp; human'!V68),'outliers per techniques &amp; human'!V68,"")</f>
        <v/>
      </c>
      <c r="P67" t="str">
        <f>IF(COUNTIF('outliers per techniques &amp; human'!O$3:O$368,'outliers per techniques &amp; human'!V68),'outliers per techniques &amp; human'!V68,"")</f>
        <v>mulatta</v>
      </c>
    </row>
    <row r="68" spans="2:16" x14ac:dyDescent="0.25">
      <c r="B68" s="4" t="str">
        <f>IF(COUNTIF('outliers per techniques &amp; human'!A$3:A$28,'outliers per techniques &amp; human'!$V69),'outliers per techniques &amp; human'!$V69,"")</f>
        <v>ubma</v>
      </c>
      <c r="C68" t="str">
        <f>IF(COUNTIF('outliers per techniques &amp; human'!B$3:B$28,'outliers per techniques &amp; human'!V69),'outliers per techniques &amp; human'!V69,"")</f>
        <v>ubma</v>
      </c>
      <c r="D68" t="str">
        <f>IF(COUNTIF('outliers per techniques &amp; human'!C$3:C$38,'outliers per techniques &amp; human'!V69),'outliers per techniques &amp; human'!V69,"")</f>
        <v>ubma</v>
      </c>
      <c r="E68" t="str">
        <f>IF(COUNTIF('outliers per techniques &amp; human'!D$3:D$38,'outliers per techniques &amp; human'!V69),'outliers per techniques &amp; human'!V69,"")</f>
        <v>ubma</v>
      </c>
      <c r="F68" t="str">
        <f>IF(COUNTIF('outliers per techniques &amp; human'!E$3:E$24,'outliers per techniques &amp; human'!V69),'outliers per techniques &amp; human'!V69,"")</f>
        <v/>
      </c>
      <c r="G68" t="str">
        <f>IF(COUNTIF('outliers per techniques &amp; human'!F$3:F$24,'outliers per techniques &amp; human'!V69),'outliers per techniques &amp; human'!V69,"")</f>
        <v/>
      </c>
      <c r="H68" t="str">
        <f>IF(COUNTIF('outliers per techniques &amp; human'!G$3:G$42,'outliers per techniques &amp; human'!V69),'outliers per techniques &amp; human'!V69,"")</f>
        <v/>
      </c>
      <c r="I68" t="str">
        <f>IF(COUNTIF('outliers per techniques &amp; human'!H$3:H$42,'outliers per techniques &amp; human'!V69),'outliers per techniques &amp; human'!V69,"")</f>
        <v/>
      </c>
      <c r="J68" t="str">
        <f>IF(COUNTIF('outliers per techniques &amp; human'!I$3:I$21,'outliers per techniques &amp; human'!V69),'outliers per techniques &amp; human'!V69,"")</f>
        <v>ubma</v>
      </c>
      <c r="K68" t="str">
        <f>IF(COUNTIF('outliers per techniques &amp; human'!J$3:J$47,'outliers per techniques &amp; human'!V69),'outliers per techniques &amp; human'!V69,"")</f>
        <v>ubma</v>
      </c>
      <c r="L68" t="str">
        <f>IF(COUNTIF('outliers per techniques &amp; human'!K$3:K$78,'outliers per techniques &amp; human'!V69),'outliers per techniques &amp; human'!V69,"")</f>
        <v/>
      </c>
      <c r="M68" t="str">
        <f>IF(COUNTIF('outliers per techniques &amp; human'!L$3:L$17,'outliers per techniques &amp; human'!V69),'outliers per techniques &amp; human'!V69,"")</f>
        <v/>
      </c>
      <c r="N68" t="str">
        <f>IF(COUNTIF('outliers per techniques &amp; human'!M$3:M$200,'outliers per techniques &amp; human'!V69),'outliers per techniques &amp; human'!V69,"")</f>
        <v/>
      </c>
      <c r="O68" t="str">
        <f>IF(COUNTIF('outliers per techniques &amp; human'!N$3:N$25,'outliers per techniques &amp; human'!V69),'outliers per techniques &amp; human'!V69,"")</f>
        <v/>
      </c>
      <c r="P68" t="str">
        <f>IF(COUNTIF('outliers per techniques &amp; human'!O$3:O$368,'outliers per techniques &amp; human'!V69),'outliers per techniques &amp; human'!V69,"")</f>
        <v/>
      </c>
    </row>
    <row r="69" spans="2:16" x14ac:dyDescent="0.25">
      <c r="B69" s="4" t="str">
        <f>IF(COUNTIF('outliers per techniques &amp; human'!A$3:A$28,'outliers per techniques &amp; human'!$V70),'outliers per techniques &amp; human'!$V70,"")</f>
        <v/>
      </c>
      <c r="C69" t="str">
        <f>IF(COUNTIF('outliers per techniques &amp; human'!B$3:B$28,'outliers per techniques &amp; human'!V70),'outliers per techniques &amp; human'!V70,"")</f>
        <v/>
      </c>
      <c r="D69" t="str">
        <f>IF(COUNTIF('outliers per techniques &amp; human'!C$3:C$38,'outliers per techniques &amp; human'!V70),'outliers per techniques &amp; human'!V70,"")</f>
        <v/>
      </c>
      <c r="E69" t="str">
        <f>IF(COUNTIF('outliers per techniques &amp; human'!D$3:D$38,'outliers per techniques &amp; human'!V70),'outliers per techniques &amp; human'!V70,"")</f>
        <v/>
      </c>
      <c r="F69" t="str">
        <f>IF(COUNTIF('outliers per techniques &amp; human'!E$3:E$24,'outliers per techniques &amp; human'!V70),'outliers per techniques &amp; human'!V70,"")</f>
        <v/>
      </c>
      <c r="G69" t="str">
        <f>IF(COUNTIF('outliers per techniques &amp; human'!F$3:F$24,'outliers per techniques &amp; human'!V70),'outliers per techniques &amp; human'!V70,"")</f>
        <v/>
      </c>
      <c r="H69" t="str">
        <f>IF(COUNTIF('outliers per techniques &amp; human'!G$3:G$42,'outliers per techniques &amp; human'!V70),'outliers per techniques &amp; human'!V70,"")</f>
        <v/>
      </c>
      <c r="I69" t="str">
        <f>IF(COUNTIF('outliers per techniques &amp; human'!H$3:H$42,'outliers per techniques &amp; human'!V70),'outliers per techniques &amp; human'!V70,"")</f>
        <v/>
      </c>
      <c r="J69" t="str">
        <f>IF(COUNTIF('outliers per techniques &amp; human'!I$3:I$21,'outliers per techniques &amp; human'!V70),'outliers per techniques &amp; human'!V70,"")</f>
        <v/>
      </c>
      <c r="K69" t="str">
        <f>IF(COUNTIF('outliers per techniques &amp; human'!J$3:J$47,'outliers per techniques &amp; human'!V70),'outliers per techniques &amp; human'!V70,"")</f>
        <v/>
      </c>
      <c r="L69" t="str">
        <f>IF(COUNTIF('outliers per techniques &amp; human'!K$3:K$78,'outliers per techniques &amp; human'!V70),'outliers per techniques &amp; human'!V70,"")</f>
        <v/>
      </c>
      <c r="M69" t="str">
        <f>IF(COUNTIF('outliers per techniques &amp; human'!L$3:L$17,'outliers per techniques &amp; human'!V70),'outliers per techniques &amp; human'!V70,"")</f>
        <v/>
      </c>
      <c r="N69" t="str">
        <f>IF(COUNTIF('outliers per techniques &amp; human'!M$3:M$200,'outliers per techniques &amp; human'!V70),'outliers per techniques &amp; human'!V70,"")</f>
        <v>vannevar</v>
      </c>
      <c r="O69" t="str">
        <f>IF(COUNTIF('outliers per techniques &amp; human'!N$3:N$25,'outliers per techniques &amp; human'!V70),'outliers per techniques &amp; human'!V70,"")</f>
        <v/>
      </c>
      <c r="P69" t="str">
        <f>IF(COUNTIF('outliers per techniques &amp; human'!O$3:O$368,'outliers per techniques &amp; human'!V70),'outliers per techniques &amp; human'!V70,"")</f>
        <v/>
      </c>
    </row>
    <row r="70" spans="2:16" x14ac:dyDescent="0.25">
      <c r="B70" s="4" t="str">
        <f>IF(COUNTIF('outliers per techniques &amp; human'!A$3:A$28,'outliers per techniques &amp; human'!$V71),'outliers per techniques &amp; human'!$V71,"")</f>
        <v/>
      </c>
      <c r="C70" t="str">
        <f>IF(COUNTIF('outliers per techniques &amp; human'!B$3:B$28,'outliers per techniques &amp; human'!V71),'outliers per techniques &amp; human'!V71,"")</f>
        <v/>
      </c>
      <c r="D70" t="str">
        <f>IF(COUNTIF('outliers per techniques &amp; human'!C$3:C$38,'outliers per techniques &amp; human'!V71),'outliers per techniques &amp; human'!V71,"")</f>
        <v/>
      </c>
      <c r="E70" t="str">
        <f>IF(COUNTIF('outliers per techniques &amp; human'!D$3:D$38,'outliers per techniques &amp; human'!V71),'outliers per techniques &amp; human'!V71,"")</f>
        <v/>
      </c>
      <c r="F70" t="str">
        <f>IF(COUNTIF('outliers per techniques &amp; human'!E$3:E$24,'outliers per techniques &amp; human'!V71),'outliers per techniques &amp; human'!V71,"")</f>
        <v/>
      </c>
      <c r="G70" t="str">
        <f>IF(COUNTIF('outliers per techniques &amp; human'!F$3:F$24,'outliers per techniques &amp; human'!V71),'outliers per techniques &amp; human'!V71,"")</f>
        <v/>
      </c>
      <c r="H70" t="str">
        <f>IF(COUNTIF('outliers per techniques &amp; human'!G$3:G$42,'outliers per techniques &amp; human'!V71),'outliers per techniques &amp; human'!V71,"")</f>
        <v/>
      </c>
      <c r="I70" t="str">
        <f>IF(COUNTIF('outliers per techniques &amp; human'!H$3:H$42,'outliers per techniques &amp; human'!V71),'outliers per techniques &amp; human'!V71,"")</f>
        <v/>
      </c>
      <c r="J70" t="str">
        <f>IF(COUNTIF('outliers per techniques &amp; human'!I$3:I$21,'outliers per techniques &amp; human'!V71),'outliers per techniques &amp; human'!V71,"")</f>
        <v/>
      </c>
      <c r="K70" t="str">
        <f>IF(COUNTIF('outliers per techniques &amp; human'!J$3:J$47,'outliers per techniques &amp; human'!V71),'outliers per techniques &amp; human'!V71,"")</f>
        <v/>
      </c>
      <c r="L70" t="str">
        <f>IF(COUNTIF('outliers per techniques &amp; human'!K$3:K$78,'outliers per techniques &amp; human'!V71),'outliers per techniques &amp; human'!V71,"")</f>
        <v/>
      </c>
      <c r="M70" t="str">
        <f>IF(COUNTIF('outliers per techniques &amp; human'!L$3:L$17,'outliers per techniques &amp; human'!V71),'outliers per techniques &amp; human'!V71,"")</f>
        <v/>
      </c>
      <c r="N70" t="str">
        <f>IF(COUNTIF('outliers per techniques &amp; human'!M$3:M$200,'outliers per techniques &amp; human'!V71),'outliers per techniques &amp; human'!V71,"")</f>
        <v/>
      </c>
      <c r="O70" t="str">
        <f>IF(COUNTIF('outliers per techniques &amp; human'!N$3:N$25,'outliers per techniques &amp; human'!V71),'outliers per techniques &amp; human'!V71,"")</f>
        <v/>
      </c>
      <c r="P70" t="str">
        <f>IF(COUNTIF('outliers per techniques &amp; human'!O$3:O$368,'outliers per techniques &amp; human'!V71),'outliers per techniques &amp; human'!V71,"")</f>
        <v>omg</v>
      </c>
    </row>
    <row r="71" spans="2:16" x14ac:dyDescent="0.25">
      <c r="B71" s="4" t="str">
        <f>IF(COUNTIF('outliers per techniques &amp; human'!A$3:A$28,'outliers per techniques &amp; human'!$V72),'outliers per techniques &amp; human'!$V72,"")</f>
        <v/>
      </c>
      <c r="C71" t="str">
        <f>IF(COUNTIF('outliers per techniques &amp; human'!B$3:B$28,'outliers per techniques &amp; human'!V72),'outliers per techniques &amp; human'!V72,"")</f>
        <v/>
      </c>
      <c r="D71" t="str">
        <f>IF(COUNTIF('outliers per techniques &amp; human'!C$3:C$38,'outliers per techniques &amp; human'!V72),'outliers per techniques &amp; human'!V72,"")</f>
        <v/>
      </c>
      <c r="E71" t="str">
        <f>IF(COUNTIF('outliers per techniques &amp; human'!D$3:D$38,'outliers per techniques &amp; human'!V72),'outliers per techniques &amp; human'!V72,"")</f>
        <v/>
      </c>
      <c r="F71" t="str">
        <f>IF(COUNTIF('outliers per techniques &amp; human'!E$3:E$24,'outliers per techniques &amp; human'!V72),'outliers per techniques &amp; human'!V72,"")</f>
        <v>one</v>
      </c>
      <c r="G71" t="str">
        <f>IF(COUNTIF('outliers per techniques &amp; human'!F$3:F$24,'outliers per techniques &amp; human'!V72),'outliers per techniques &amp; human'!V72,"")</f>
        <v/>
      </c>
      <c r="H71" t="str">
        <f>IF(COUNTIF('outliers per techniques &amp; human'!G$3:G$42,'outliers per techniques &amp; human'!V72),'outliers per techniques &amp; human'!V72,"")</f>
        <v>one</v>
      </c>
      <c r="I71" t="str">
        <f>IF(COUNTIF('outliers per techniques &amp; human'!H$3:H$42,'outliers per techniques &amp; human'!V72),'outliers per techniques &amp; human'!V72,"")</f>
        <v/>
      </c>
      <c r="J71" t="str">
        <f>IF(COUNTIF('outliers per techniques &amp; human'!I$3:I$21,'outliers per techniques &amp; human'!V72),'outliers per techniques &amp; human'!V72,"")</f>
        <v/>
      </c>
      <c r="K71" t="str">
        <f>IF(COUNTIF('outliers per techniques &amp; human'!J$3:J$47,'outliers per techniques &amp; human'!V72),'outliers per techniques &amp; human'!V72,"")</f>
        <v/>
      </c>
      <c r="L71" t="str">
        <f>IF(COUNTIF('outliers per techniques &amp; human'!K$3:K$78,'outliers per techniques &amp; human'!V72),'outliers per techniques &amp; human'!V72,"")</f>
        <v/>
      </c>
      <c r="M71" t="str">
        <f>IF(COUNTIF('outliers per techniques &amp; human'!L$3:L$17,'outliers per techniques &amp; human'!V72),'outliers per techniques &amp; human'!V72,"")</f>
        <v/>
      </c>
      <c r="N71" t="str">
        <f>IF(COUNTIF('outliers per techniques &amp; human'!M$3:M$200,'outliers per techniques &amp; human'!V72),'outliers per techniques &amp; human'!V72,"")</f>
        <v/>
      </c>
      <c r="O71" t="str">
        <f>IF(COUNTIF('outliers per techniques &amp; human'!N$3:N$25,'outliers per techniques &amp; human'!V72),'outliers per techniques &amp; human'!V72,"")</f>
        <v/>
      </c>
      <c r="P71" t="str">
        <f>IF(COUNTIF('outliers per techniques &amp; human'!O$3:O$368,'outliers per techniques &amp; human'!V72),'outliers per techniques &amp; human'!V72,"")</f>
        <v/>
      </c>
    </row>
    <row r="72" spans="2:16" x14ac:dyDescent="0.25">
      <c r="B72" s="4" t="str">
        <f>IF(COUNTIF('outliers per techniques &amp; human'!A$3:A$28,'outliers per techniques &amp; human'!$V73),'outliers per techniques &amp; human'!$V73,"")</f>
        <v/>
      </c>
      <c r="C72" t="str">
        <f>IF(COUNTIF('outliers per techniques &amp; human'!B$3:B$28,'outliers per techniques &amp; human'!V73),'outliers per techniques &amp; human'!V73,"")</f>
        <v/>
      </c>
      <c r="D72" t="str">
        <f>IF(COUNTIF('outliers per techniques &amp; human'!C$3:C$38,'outliers per techniques &amp; human'!V73),'outliers per techniques &amp; human'!V73,"")</f>
        <v/>
      </c>
      <c r="E72" t="str">
        <f>IF(COUNTIF('outliers per techniques &amp; human'!D$3:D$38,'outliers per techniques &amp; human'!V73),'outliers per techniques &amp; human'!V73,"")</f>
        <v/>
      </c>
      <c r="F72" t="str">
        <f>IF(COUNTIF('outliers per techniques &amp; human'!E$3:E$24,'outliers per techniques &amp; human'!V73),'outliers per techniques &amp; human'!V73,"")</f>
        <v/>
      </c>
      <c r="G72" t="str">
        <f>IF(COUNTIF('outliers per techniques &amp; human'!F$3:F$24,'outliers per techniques &amp; human'!V73),'outliers per techniques &amp; human'!V73,"")</f>
        <v/>
      </c>
      <c r="H72" t="str">
        <f>IF(COUNTIF('outliers per techniques &amp; human'!G$3:G$42,'outliers per techniques &amp; human'!V73),'outliers per techniques &amp; human'!V73,"")</f>
        <v/>
      </c>
      <c r="I72" t="str">
        <f>IF(COUNTIF('outliers per techniques &amp; human'!H$3:H$42,'outliers per techniques &amp; human'!V73),'outliers per techniques &amp; human'!V73,"")</f>
        <v/>
      </c>
      <c r="J72" t="str">
        <f>IF(COUNTIF('outliers per techniques &amp; human'!I$3:I$21,'outliers per techniques &amp; human'!V73),'outliers per techniques &amp; human'!V73,"")</f>
        <v/>
      </c>
      <c r="K72" t="str">
        <f>IF(COUNTIF('outliers per techniques &amp; human'!J$3:J$47,'outliers per techniques &amp; human'!V73),'outliers per techniques &amp; human'!V73,"")</f>
        <v/>
      </c>
      <c r="L72" t="str">
        <f>IF(COUNTIF('outliers per techniques &amp; human'!K$3:K$78,'outliers per techniques &amp; human'!V73),'outliers per techniques &amp; human'!V73,"")</f>
        <v/>
      </c>
      <c r="M72" t="str">
        <f>IF(COUNTIF('outliers per techniques &amp; human'!L$3:L$17,'outliers per techniques &amp; human'!V73),'outliers per techniques &amp; human'!V73,"")</f>
        <v/>
      </c>
      <c r="N72" t="str">
        <f>IF(COUNTIF('outliers per techniques &amp; human'!M$3:M$200,'outliers per techniques &amp; human'!V73),'outliers per techniques &amp; human'!V73,"")</f>
        <v>persepolis</v>
      </c>
      <c r="O72" t="str">
        <f>IF(COUNTIF('outliers per techniques &amp; human'!N$3:N$25,'outliers per techniques &amp; human'!V73),'outliers per techniques &amp; human'!V73,"")</f>
        <v/>
      </c>
      <c r="P72" t="str">
        <f>IF(COUNTIF('outliers per techniques &amp; human'!O$3:O$368,'outliers per techniques &amp; human'!V73),'outliers per techniques &amp; human'!V73,"")</f>
        <v/>
      </c>
    </row>
    <row r="73" spans="2:16" x14ac:dyDescent="0.25">
      <c r="B73" s="4" t="str">
        <f>IF(COUNTIF('outliers per techniques &amp; human'!A$3:A$28,'outliers per techniques &amp; human'!$V74),'outliers per techniques &amp; human'!$V74,"")</f>
        <v/>
      </c>
      <c r="C73" t="str">
        <f>IF(COUNTIF('outliers per techniques &amp; human'!B$3:B$28,'outliers per techniques &amp; human'!V74),'outliers per techniques &amp; human'!V74,"")</f>
        <v/>
      </c>
      <c r="D73" t="str">
        <f>IF(COUNTIF('outliers per techniques &amp; human'!C$3:C$38,'outliers per techniques &amp; human'!V74),'outliers per techniques &amp; human'!V74,"")</f>
        <v/>
      </c>
      <c r="E73" t="str">
        <f>IF(COUNTIF('outliers per techniques &amp; human'!D$3:D$38,'outliers per techniques &amp; human'!V74),'outliers per techniques &amp; human'!V74,"")</f>
        <v/>
      </c>
      <c r="F73" t="str">
        <f>IF(COUNTIF('outliers per techniques &amp; human'!E$3:E$24,'outliers per techniques &amp; human'!V74),'outliers per techniques &amp; human'!V74,"")</f>
        <v/>
      </c>
      <c r="G73" t="str">
        <f>IF(COUNTIF('outliers per techniques &amp; human'!F$3:F$24,'outliers per techniques &amp; human'!V74),'outliers per techniques &amp; human'!V74,"")</f>
        <v/>
      </c>
      <c r="H73" t="str">
        <f>IF(COUNTIF('outliers per techniques &amp; human'!G$3:G$42,'outliers per techniques &amp; human'!V74),'outliers per techniques &amp; human'!V74,"")</f>
        <v/>
      </c>
      <c r="I73" t="str">
        <f>IF(COUNTIF('outliers per techniques &amp; human'!H$3:H$42,'outliers per techniques &amp; human'!V74),'outliers per techniques &amp; human'!V74,"")</f>
        <v/>
      </c>
      <c r="J73" t="str">
        <f>IF(COUNTIF('outliers per techniques &amp; human'!I$3:I$21,'outliers per techniques &amp; human'!V74),'outliers per techniques &amp; human'!V74,"")</f>
        <v/>
      </c>
      <c r="K73" t="str">
        <f>IF(COUNTIF('outliers per techniques &amp; human'!J$3:J$47,'outliers per techniques &amp; human'!V74),'outliers per techniques &amp; human'!V74,"")</f>
        <v/>
      </c>
      <c r="L73" t="str">
        <f>IF(COUNTIF('outliers per techniques &amp; human'!K$3:K$78,'outliers per techniques &amp; human'!V74),'outliers per techniques &amp; human'!V74,"")</f>
        <v/>
      </c>
      <c r="M73" t="str">
        <f>IF(COUNTIF('outliers per techniques &amp; human'!L$3:L$17,'outliers per techniques &amp; human'!V74),'outliers per techniques &amp; human'!V74,"")</f>
        <v/>
      </c>
      <c r="N73" t="str">
        <f>IF(COUNTIF('outliers per techniques &amp; human'!M$3:M$200,'outliers per techniques &amp; human'!V74),'outliers per techniques &amp; human'!V74,"")</f>
        <v>conf</v>
      </c>
      <c r="O73" t="str">
        <f>IF(COUNTIF('outliers per techniques &amp; human'!N$3:N$25,'outliers per techniques &amp; human'!V74),'outliers per techniques &amp; human'!V74,"")</f>
        <v/>
      </c>
      <c r="P73" t="str">
        <f>IF(COUNTIF('outliers per techniques &amp; human'!O$3:O$368,'outliers per techniques &amp; human'!V74),'outliers per techniques &amp; human'!V74,"")</f>
        <v/>
      </c>
    </row>
    <row r="74" spans="2:16" x14ac:dyDescent="0.25">
      <c r="B74" s="4" t="str">
        <f>IF(COUNTIF('outliers per techniques &amp; human'!A$3:A$28,'outliers per techniques &amp; human'!$V75),'outliers per techniques &amp; human'!$V75,"")</f>
        <v/>
      </c>
      <c r="C74" t="str">
        <f>IF(COUNTIF('outliers per techniques &amp; human'!B$3:B$28,'outliers per techniques &amp; human'!V75),'outliers per techniques &amp; human'!V75,"")</f>
        <v/>
      </c>
      <c r="D74" t="str">
        <f>IF(COUNTIF('outliers per techniques &amp; human'!C$3:C$38,'outliers per techniques &amp; human'!V75),'outliers per techniques &amp; human'!V75,"")</f>
        <v/>
      </c>
      <c r="E74" t="str">
        <f>IF(COUNTIF('outliers per techniques &amp; human'!D$3:D$38,'outliers per techniques &amp; human'!V75),'outliers per techniques &amp; human'!V75,"")</f>
        <v/>
      </c>
      <c r="F74" t="str">
        <f>IF(COUNTIF('outliers per techniques &amp; human'!E$3:E$24,'outliers per techniques &amp; human'!V75),'outliers per techniques &amp; human'!V75,"")</f>
        <v/>
      </c>
      <c r="G74" t="str">
        <f>IF(COUNTIF('outliers per techniques &amp; human'!F$3:F$24,'outliers per techniques &amp; human'!V75),'outliers per techniques &amp; human'!V75,"")</f>
        <v/>
      </c>
      <c r="H74" t="str">
        <f>IF(COUNTIF('outliers per techniques &amp; human'!G$3:G$42,'outliers per techniques &amp; human'!V75),'outliers per techniques &amp; human'!V75,"")</f>
        <v/>
      </c>
      <c r="I74" t="str">
        <f>IF(COUNTIF('outliers per techniques &amp; human'!H$3:H$42,'outliers per techniques &amp; human'!V75),'outliers per techniques &amp; human'!V75,"")</f>
        <v/>
      </c>
      <c r="J74" t="str">
        <f>IF(COUNTIF('outliers per techniques &amp; human'!I$3:I$21,'outliers per techniques &amp; human'!V75),'outliers per techniques &amp; human'!V75,"")</f>
        <v/>
      </c>
      <c r="K74" t="str">
        <f>IF(COUNTIF('outliers per techniques &amp; human'!J$3:J$47,'outliers per techniques &amp; human'!V75),'outliers per techniques &amp; human'!V75,"")</f>
        <v/>
      </c>
      <c r="L74" t="str">
        <f>IF(COUNTIF('outliers per techniques &amp; human'!K$3:K$78,'outliers per techniques &amp; human'!V75),'outliers per techniques &amp; human'!V75,"")</f>
        <v/>
      </c>
      <c r="M74" t="str">
        <f>IF(COUNTIF('outliers per techniques &amp; human'!L$3:L$17,'outliers per techniques &amp; human'!V75),'outliers per techniques &amp; human'!V75,"")</f>
        <v/>
      </c>
      <c r="N74" t="str">
        <f>IF(COUNTIF('outliers per techniques &amp; human'!M$3:M$200,'outliers per techniques &amp; human'!V75),'outliers per techniques &amp; human'!V75,"")</f>
        <v/>
      </c>
      <c r="O74" t="str">
        <f>IF(COUNTIF('outliers per techniques &amp; human'!N$3:N$25,'outliers per techniques &amp; human'!V75),'outliers per techniques &amp; human'!V75,"")</f>
        <v>ling</v>
      </c>
      <c r="P74" t="str">
        <f>IF(COUNTIF('outliers per techniques &amp; human'!O$3:O$368,'outliers per techniques &amp; human'!V75),'outliers per techniques &amp; human'!V75,"")</f>
        <v/>
      </c>
    </row>
    <row r="75" spans="2:16" x14ac:dyDescent="0.25">
      <c r="B75" s="4" t="str">
        <f>IF(COUNTIF('outliers per techniques &amp; human'!A$3:A$28,'outliers per techniques &amp; human'!$V76),'outliers per techniques &amp; human'!$V76,"")</f>
        <v/>
      </c>
      <c r="C75" t="str">
        <f>IF(COUNTIF('outliers per techniques &amp; human'!B$3:B$28,'outliers per techniques &amp; human'!V76),'outliers per techniques &amp; human'!V76,"")</f>
        <v/>
      </c>
      <c r="D75" t="str">
        <f>IF(COUNTIF('outliers per techniques &amp; human'!C$3:C$38,'outliers per techniques &amp; human'!V76),'outliers per techniques &amp; human'!V76,"")</f>
        <v/>
      </c>
      <c r="E75" t="str">
        <f>IF(COUNTIF('outliers per techniques &amp; human'!D$3:D$38,'outliers per techniques &amp; human'!V76),'outliers per techniques &amp; human'!V76,"")</f>
        <v/>
      </c>
      <c r="F75" t="str">
        <f>IF(COUNTIF('outliers per techniques &amp; human'!E$3:E$24,'outliers per techniques &amp; human'!V76),'outliers per techniques &amp; human'!V76,"")</f>
        <v/>
      </c>
      <c r="G75" t="str">
        <f>IF(COUNTIF('outliers per techniques &amp; human'!F$3:F$24,'outliers per techniques &amp; human'!V76),'outliers per techniques &amp; human'!V76,"")</f>
        <v/>
      </c>
      <c r="H75" t="str">
        <f>IF(COUNTIF('outliers per techniques &amp; human'!G$3:G$42,'outliers per techniques &amp; human'!V76),'outliers per techniques &amp; human'!V76,"")</f>
        <v/>
      </c>
      <c r="I75" t="str">
        <f>IF(COUNTIF('outliers per techniques &amp; human'!H$3:H$42,'outliers per techniques &amp; human'!V76),'outliers per techniques &amp; human'!V76,"")</f>
        <v/>
      </c>
      <c r="J75" t="str">
        <f>IF(COUNTIF('outliers per techniques &amp; human'!I$3:I$21,'outliers per techniques &amp; human'!V76),'outliers per techniques &amp; human'!V76,"")</f>
        <v/>
      </c>
      <c r="K75" t="str">
        <f>IF(COUNTIF('outliers per techniques &amp; human'!J$3:J$47,'outliers per techniques &amp; human'!V76),'outliers per techniques &amp; human'!V76,"")</f>
        <v/>
      </c>
      <c r="L75" t="str">
        <f>IF(COUNTIF('outliers per techniques &amp; human'!K$3:K$78,'outliers per techniques &amp; human'!V76),'outliers per techniques &amp; human'!V76,"")</f>
        <v>noored</v>
      </c>
      <c r="M75" t="str">
        <f>IF(COUNTIF('outliers per techniques &amp; human'!L$3:L$17,'outliers per techniques &amp; human'!V76),'outliers per techniques &amp; human'!V76,"")</f>
        <v/>
      </c>
      <c r="N75" t="str">
        <f>IF(COUNTIF('outliers per techniques &amp; human'!M$3:M$200,'outliers per techniques &amp; human'!V76),'outliers per techniques &amp; human'!V76,"")</f>
        <v/>
      </c>
      <c r="O75" t="str">
        <f>IF(COUNTIF('outliers per techniques &amp; human'!N$3:N$25,'outliers per techniques &amp; human'!V76),'outliers per techniques &amp; human'!V76,"")</f>
        <v/>
      </c>
      <c r="P75" t="str">
        <f>IF(COUNTIF('outliers per techniques &amp; human'!O$3:O$368,'outliers per techniques &amp; human'!V76),'outliers per techniques &amp; human'!V76,"")</f>
        <v/>
      </c>
    </row>
    <row r="76" spans="2:16" x14ac:dyDescent="0.25">
      <c r="B76" s="4" t="str">
        <f>IF(COUNTIF('outliers per techniques &amp; human'!A$3:A$28,'outliers per techniques &amp; human'!$V77),'outliers per techniques &amp; human'!$V77,"")</f>
        <v/>
      </c>
      <c r="C76" t="str">
        <f>IF(COUNTIF('outliers per techniques &amp; human'!B$3:B$28,'outliers per techniques &amp; human'!V77),'outliers per techniques &amp; human'!V77,"")</f>
        <v/>
      </c>
      <c r="D76" t="str">
        <f>IF(COUNTIF('outliers per techniques &amp; human'!C$3:C$38,'outliers per techniques &amp; human'!V77),'outliers per techniques &amp; human'!V77,"")</f>
        <v/>
      </c>
      <c r="E76" t="str">
        <f>IF(COUNTIF('outliers per techniques &amp; human'!D$3:D$38,'outliers per techniques &amp; human'!V77),'outliers per techniques &amp; human'!V77,"")</f>
        <v/>
      </c>
      <c r="F76" t="str">
        <f>IF(COUNTIF('outliers per techniques &amp; human'!E$3:E$24,'outliers per techniques &amp; human'!V77),'outliers per techniques &amp; human'!V77,"")</f>
        <v/>
      </c>
      <c r="G76" t="str">
        <f>IF(COUNTIF('outliers per techniques &amp; human'!F$3:F$24,'outliers per techniques &amp; human'!V77),'outliers per techniques &amp; human'!V77,"")</f>
        <v/>
      </c>
      <c r="H76" t="str">
        <f>IF(COUNTIF('outliers per techniques &amp; human'!G$3:G$42,'outliers per techniques &amp; human'!V77),'outliers per techniques &amp; human'!V77,"")</f>
        <v/>
      </c>
      <c r="I76" t="str">
        <f>IF(COUNTIF('outliers per techniques &amp; human'!H$3:H$42,'outliers per techniques &amp; human'!V77),'outliers per techniques &amp; human'!V77,"")</f>
        <v/>
      </c>
      <c r="J76" t="str">
        <f>IF(COUNTIF('outliers per techniques &amp; human'!I$3:I$21,'outliers per techniques &amp; human'!V77),'outliers per techniques &amp; human'!V77,"")</f>
        <v/>
      </c>
      <c r="K76" t="str">
        <f>IF(COUNTIF('outliers per techniques &amp; human'!J$3:J$47,'outliers per techniques &amp; human'!V77),'outliers per techniques &amp; human'!V77,"")</f>
        <v/>
      </c>
      <c r="L76" t="str">
        <f>IF(COUNTIF('outliers per techniques &amp; human'!K$3:K$78,'outliers per techniques &amp; human'!V77),'outliers per techniques &amp; human'!V77,"")</f>
        <v/>
      </c>
      <c r="M76" t="str">
        <f>IF(COUNTIF('outliers per techniques &amp; human'!L$3:L$17,'outliers per techniques &amp; human'!V77),'outliers per techniques &amp; human'!V77,"")</f>
        <v/>
      </c>
      <c r="N76" t="str">
        <f>IF(COUNTIF('outliers per techniques &amp; human'!M$3:M$200,'outliers per techniques &amp; human'!V77),'outliers per techniques &amp; human'!V77,"")</f>
        <v>informationsmarkt</v>
      </c>
      <c r="O76" t="str">
        <f>IF(COUNTIF('outliers per techniques &amp; human'!N$3:N$25,'outliers per techniques &amp; human'!V77),'outliers per techniques &amp; human'!V77,"")</f>
        <v/>
      </c>
      <c r="P76" t="str">
        <f>IF(COUNTIF('outliers per techniques &amp; human'!O$3:O$368,'outliers per techniques &amp; human'!V77),'outliers per techniques &amp; human'!V77,"")</f>
        <v>informationsmarkt</v>
      </c>
    </row>
    <row r="77" spans="2:16" x14ac:dyDescent="0.25">
      <c r="B77" s="4" t="str">
        <f>IF(COUNTIF('outliers per techniques &amp; human'!A$3:A$28,'outliers per techniques &amp; human'!$V78),'outliers per techniques &amp; human'!$V78,"")</f>
        <v/>
      </c>
      <c r="C77" t="str">
        <f>IF(COUNTIF('outliers per techniques &amp; human'!B$3:B$28,'outliers per techniques &amp; human'!V78),'outliers per techniques &amp; human'!V78,"")</f>
        <v/>
      </c>
      <c r="D77" t="str">
        <f>IF(COUNTIF('outliers per techniques &amp; human'!C$3:C$38,'outliers per techniques &amp; human'!V78),'outliers per techniques &amp; human'!V78,"")</f>
        <v/>
      </c>
      <c r="E77" t="str">
        <f>IF(COUNTIF('outliers per techniques &amp; human'!D$3:D$38,'outliers per techniques &amp; human'!V78),'outliers per techniques &amp; human'!V78,"")</f>
        <v/>
      </c>
      <c r="F77" t="str">
        <f>IF(COUNTIF('outliers per techniques &amp; human'!E$3:E$24,'outliers per techniques &amp; human'!V78),'outliers per techniques &amp; human'!V78,"")</f>
        <v/>
      </c>
      <c r="G77" t="str">
        <f>IF(COUNTIF('outliers per techniques &amp; human'!F$3:F$24,'outliers per techniques &amp; human'!V78),'outliers per techniques &amp; human'!V78,"")</f>
        <v/>
      </c>
      <c r="H77" t="str">
        <f>IF(COUNTIF('outliers per techniques &amp; human'!G$3:G$42,'outliers per techniques &amp; human'!V78),'outliers per techniques &amp; human'!V78,"")</f>
        <v/>
      </c>
      <c r="I77" t="str">
        <f>IF(COUNTIF('outliers per techniques &amp; human'!H$3:H$42,'outliers per techniques &amp; human'!V78),'outliers per techniques &amp; human'!V78,"")</f>
        <v/>
      </c>
      <c r="J77" t="str">
        <f>IF(COUNTIF('outliers per techniques &amp; human'!I$3:I$21,'outliers per techniques &amp; human'!V78),'outliers per techniques &amp; human'!V78,"")</f>
        <v/>
      </c>
      <c r="K77" t="str">
        <f>IF(COUNTIF('outliers per techniques &amp; human'!J$3:J$47,'outliers per techniques &amp; human'!V78),'outliers per techniques &amp; human'!V78,"")</f>
        <v/>
      </c>
      <c r="L77" t="str">
        <f>IF(COUNTIF('outliers per techniques &amp; human'!K$3:K$78,'outliers per techniques &amp; human'!V78),'outliers per techniques &amp; human'!V78,"")</f>
        <v/>
      </c>
      <c r="M77" t="str">
        <f>IF(COUNTIF('outliers per techniques &amp; human'!L$3:L$17,'outliers per techniques &amp; human'!V78),'outliers per techniques &amp; human'!V78,"")</f>
        <v/>
      </c>
      <c r="N77" t="str">
        <f>IF(COUNTIF('outliers per techniques &amp; human'!M$3:M$200,'outliers per techniques &amp; human'!V78),'outliers per techniques &amp; human'!V78,"")</f>
        <v>marius</v>
      </c>
      <c r="O77" t="str">
        <f>IF(COUNTIF('outliers per techniques &amp; human'!N$3:N$25,'outliers per techniques &amp; human'!V78),'outliers per techniques &amp; human'!V78,"")</f>
        <v/>
      </c>
      <c r="P77" t="str">
        <f>IF(COUNTIF('outliers per techniques &amp; human'!O$3:O$368,'outliers per techniques &amp; human'!V78),'outliers per techniques &amp; human'!V78,"")</f>
        <v/>
      </c>
    </row>
    <row r="78" spans="2:16" x14ac:dyDescent="0.25">
      <c r="B78" s="4" t="str">
        <f>IF(COUNTIF('outliers per techniques &amp; human'!A$3:A$28,'outliers per techniques &amp; human'!$V79),'outliers per techniques &amp; human'!$V79,"")</f>
        <v/>
      </c>
      <c r="C78" t="str">
        <f>IF(COUNTIF('outliers per techniques &amp; human'!B$3:B$28,'outliers per techniques &amp; human'!V79),'outliers per techniques &amp; human'!V79,"")</f>
        <v/>
      </c>
      <c r="D78" t="str">
        <f>IF(COUNTIF('outliers per techniques &amp; human'!C$3:C$38,'outliers per techniques &amp; human'!V79),'outliers per techniques &amp; human'!V79,"")</f>
        <v/>
      </c>
      <c r="E78" t="str">
        <f>IF(COUNTIF('outliers per techniques &amp; human'!D$3:D$38,'outliers per techniques &amp; human'!V79),'outliers per techniques &amp; human'!V79,"")</f>
        <v/>
      </c>
      <c r="F78" t="str">
        <f>IF(COUNTIF('outliers per techniques &amp; human'!E$3:E$24,'outliers per techniques &amp; human'!V79),'outliers per techniques &amp; human'!V79,"")</f>
        <v/>
      </c>
      <c r="G78" t="str">
        <f>IF(COUNTIF('outliers per techniques &amp; human'!F$3:F$24,'outliers per techniques &amp; human'!V79),'outliers per techniques &amp; human'!V79,"")</f>
        <v/>
      </c>
      <c r="H78" t="str">
        <f>IF(COUNTIF('outliers per techniques &amp; human'!G$3:G$42,'outliers per techniques &amp; human'!V79),'outliers per techniques &amp; human'!V79,"")</f>
        <v/>
      </c>
      <c r="I78" t="str">
        <f>IF(COUNTIF('outliers per techniques &amp; human'!H$3:H$42,'outliers per techniques &amp; human'!V79),'outliers per techniques &amp; human'!V79,"")</f>
        <v/>
      </c>
      <c r="J78" t="str">
        <f>IF(COUNTIF('outliers per techniques &amp; human'!I$3:I$21,'outliers per techniques &amp; human'!V79),'outliers per techniques &amp; human'!V79,"")</f>
        <v/>
      </c>
      <c r="K78" t="str">
        <f>IF(COUNTIF('outliers per techniques &amp; human'!J$3:J$47,'outliers per techniques &amp; human'!V79),'outliers per techniques &amp; human'!V79,"")</f>
        <v/>
      </c>
      <c r="L78" t="str">
        <f>IF(COUNTIF('outliers per techniques &amp; human'!K$3:K$78,'outliers per techniques &amp; human'!V79),'outliers per techniques &amp; human'!V79,"")</f>
        <v/>
      </c>
      <c r="M78" t="str">
        <f>IF(COUNTIF('outliers per techniques &amp; human'!L$3:L$17,'outliers per techniques &amp; human'!V79),'outliers per techniques &amp; human'!V79,"")</f>
        <v/>
      </c>
      <c r="N78" t="str">
        <f>IF(COUNTIF('outliers per techniques &amp; human'!M$3:M$200,'outliers per techniques &amp; human'!V79),'outliers per techniques &amp; human'!V79,"")</f>
        <v>informationszeitalter</v>
      </c>
      <c r="O78" t="str">
        <f>IF(COUNTIF('outliers per techniques &amp; human'!N$3:N$25,'outliers per techniques &amp; human'!V79),'outliers per techniques &amp; human'!V79,"")</f>
        <v/>
      </c>
      <c r="P78" t="str">
        <f>IF(COUNTIF('outliers per techniques &amp; human'!O$3:O$368,'outliers per techniques &amp; human'!V79),'outliers per techniques &amp; human'!V79,"")</f>
        <v/>
      </c>
    </row>
    <row r="79" spans="2:16" x14ac:dyDescent="0.25">
      <c r="B79" s="4" t="str">
        <f>IF(COUNTIF('outliers per techniques &amp; human'!A$3:A$28,'outliers per techniques &amp; human'!$V80),'outliers per techniques &amp; human'!$V80,"")</f>
        <v/>
      </c>
      <c r="C79" t="str">
        <f>IF(COUNTIF('outliers per techniques &amp; human'!B$3:B$28,'outliers per techniques &amp; human'!V80),'outliers per techniques &amp; human'!V80,"")</f>
        <v/>
      </c>
      <c r="D79" t="str">
        <f>IF(COUNTIF('outliers per techniques &amp; human'!C$3:C$38,'outliers per techniques &amp; human'!V80),'outliers per techniques &amp; human'!V80,"")</f>
        <v/>
      </c>
      <c r="E79" t="str">
        <f>IF(COUNTIF('outliers per techniques &amp; human'!D$3:D$38,'outliers per techniques &amp; human'!V80),'outliers per techniques &amp; human'!V80,"")</f>
        <v/>
      </c>
      <c r="F79" t="str">
        <f>IF(COUNTIF('outliers per techniques &amp; human'!E$3:E$24,'outliers per techniques &amp; human'!V80),'outliers per techniques &amp; human'!V80,"")</f>
        <v/>
      </c>
      <c r="G79" t="str">
        <f>IF(COUNTIF('outliers per techniques &amp; human'!F$3:F$24,'outliers per techniques &amp; human'!V80),'outliers per techniques &amp; human'!V80,"")</f>
        <v/>
      </c>
      <c r="H79" t="str">
        <f>IF(COUNTIF('outliers per techniques &amp; human'!G$3:G$42,'outliers per techniques &amp; human'!V80),'outliers per techniques &amp; human'!V80,"")</f>
        <v/>
      </c>
      <c r="I79" t="str">
        <f>IF(COUNTIF('outliers per techniques &amp; human'!H$3:H$42,'outliers per techniques &amp; human'!V80),'outliers per techniques &amp; human'!V80,"")</f>
        <v/>
      </c>
      <c r="J79" t="str">
        <f>IF(COUNTIF('outliers per techniques &amp; human'!I$3:I$21,'outliers per techniques &amp; human'!V80),'outliers per techniques &amp; human'!V80,"")</f>
        <v/>
      </c>
      <c r="K79" t="str">
        <f>IF(COUNTIF('outliers per techniques &amp; human'!J$3:J$47,'outliers per techniques &amp; human'!V80),'outliers per techniques &amp; human'!V80,"")</f>
        <v/>
      </c>
      <c r="L79" t="str">
        <f>IF(COUNTIF('outliers per techniques &amp; human'!K$3:K$78,'outliers per techniques &amp; human'!V80),'outliers per techniques &amp; human'!V80,"")</f>
        <v/>
      </c>
      <c r="M79" t="str">
        <f>IF(COUNTIF('outliers per techniques &amp; human'!L$3:L$17,'outliers per techniques &amp; human'!V80),'outliers per techniques &amp; human'!V80,"")</f>
        <v/>
      </c>
      <c r="N79" t="str">
        <f>IF(COUNTIF('outliers per techniques &amp; human'!M$3:M$200,'outliers per techniques &amp; human'!V80),'outliers per techniques &amp; human'!V80,"")</f>
        <v/>
      </c>
      <c r="O79" t="str">
        <f>IF(COUNTIF('outliers per techniques &amp; human'!N$3:N$25,'outliers per techniques &amp; human'!V80),'outliers per techniques &amp; human'!V80,"")</f>
        <v/>
      </c>
      <c r="P79" t="str">
        <f>IF(COUNTIF('outliers per techniques &amp; human'!O$3:O$368,'outliers per techniques &amp; human'!V80),'outliers per techniques &amp; human'!V80,"")</f>
        <v>pnictides</v>
      </c>
    </row>
    <row r="80" spans="2:16" x14ac:dyDescent="0.25">
      <c r="B80" s="4" t="str">
        <f>IF(COUNTIF('outliers per techniques &amp; human'!A$3:A$28,'outliers per techniques &amp; human'!$V81),'outliers per techniques &amp; human'!$V81,"")</f>
        <v/>
      </c>
      <c r="C80" t="str">
        <f>IF(COUNTIF('outliers per techniques &amp; human'!B$3:B$28,'outliers per techniques &amp; human'!V81),'outliers per techniques &amp; human'!V81,"")</f>
        <v/>
      </c>
      <c r="D80" t="str">
        <f>IF(COUNTIF('outliers per techniques &amp; human'!C$3:C$38,'outliers per techniques &amp; human'!V81),'outliers per techniques &amp; human'!V81,"")</f>
        <v/>
      </c>
      <c r="E80" t="str">
        <f>IF(COUNTIF('outliers per techniques &amp; human'!D$3:D$38,'outliers per techniques &amp; human'!V81),'outliers per techniques &amp; human'!V81,"")</f>
        <v/>
      </c>
      <c r="F80" t="str">
        <f>IF(COUNTIF('outliers per techniques &amp; human'!E$3:E$24,'outliers per techniques &amp; human'!V81),'outliers per techniques &amp; human'!V81,"")</f>
        <v/>
      </c>
      <c r="G80" t="str">
        <f>IF(COUNTIF('outliers per techniques &amp; human'!F$3:F$24,'outliers per techniques &amp; human'!V81),'outliers per techniques &amp; human'!V81,"")</f>
        <v/>
      </c>
      <c r="H80" t="str">
        <f>IF(COUNTIF('outliers per techniques &amp; human'!G$3:G$42,'outliers per techniques &amp; human'!V81),'outliers per techniques &amp; human'!V81,"")</f>
        <v/>
      </c>
      <c r="I80" t="str">
        <f>IF(COUNTIF('outliers per techniques &amp; human'!H$3:H$42,'outliers per techniques &amp; human'!V81),'outliers per techniques &amp; human'!V81,"")</f>
        <v/>
      </c>
      <c r="J80" t="str">
        <f>IF(COUNTIF('outliers per techniques &amp; human'!I$3:I$21,'outliers per techniques &amp; human'!V81),'outliers per techniques &amp; human'!V81,"")</f>
        <v/>
      </c>
      <c r="K80" t="str">
        <f>IF(COUNTIF('outliers per techniques &amp; human'!J$3:J$47,'outliers per techniques &amp; human'!V81),'outliers per techniques &amp; human'!V81,"")</f>
        <v/>
      </c>
      <c r="L80" t="str">
        <f>IF(COUNTIF('outliers per techniques &amp; human'!K$3:K$78,'outliers per techniques &amp; human'!V81),'outliers per techniques &amp; human'!V81,"")</f>
        <v/>
      </c>
      <c r="M80" t="str">
        <f>IF(COUNTIF('outliers per techniques &amp; human'!L$3:L$17,'outliers per techniques &amp; human'!V81),'outliers per techniques &amp; human'!V81,"")</f>
        <v/>
      </c>
      <c r="N80" t="str">
        <f>IF(COUNTIF('outliers per techniques &amp; human'!M$3:M$200,'outliers per techniques &amp; human'!V81),'outliers per techniques &amp; human'!V81,"")</f>
        <v>mockito</v>
      </c>
      <c r="O80" t="str">
        <f>IF(COUNTIF('outliers per techniques &amp; human'!N$3:N$25,'outliers per techniques &amp; human'!V81),'outliers per techniques &amp; human'!V81,"")</f>
        <v/>
      </c>
      <c r="P80" t="str">
        <f>IF(COUNTIF('outliers per techniques &amp; human'!O$3:O$368,'outliers per techniques &amp; human'!V81),'outliers per techniques &amp; human'!V81,"")</f>
        <v/>
      </c>
    </row>
    <row r="81" spans="2:16" x14ac:dyDescent="0.25">
      <c r="B81" s="4" t="str">
        <f>IF(COUNTIF('outliers per techniques &amp; human'!A$3:A$28,'outliers per techniques &amp; human'!$V82),'outliers per techniques &amp; human'!$V82,"")</f>
        <v/>
      </c>
      <c r="C81" t="str">
        <f>IF(COUNTIF('outliers per techniques &amp; human'!B$3:B$28,'outliers per techniques &amp; human'!V82),'outliers per techniques &amp; human'!V82,"")</f>
        <v/>
      </c>
      <c r="D81" t="str">
        <f>IF(COUNTIF('outliers per techniques &amp; human'!C$3:C$38,'outliers per techniques &amp; human'!V82),'outliers per techniques &amp; human'!V82,"")</f>
        <v/>
      </c>
      <c r="E81" t="str">
        <f>IF(COUNTIF('outliers per techniques &amp; human'!D$3:D$38,'outliers per techniques &amp; human'!V82),'outliers per techniques &amp; human'!V82,"")</f>
        <v/>
      </c>
      <c r="F81" t="str">
        <f>IF(COUNTIF('outliers per techniques &amp; human'!E$3:E$24,'outliers per techniques &amp; human'!V82),'outliers per techniques &amp; human'!V82,"")</f>
        <v/>
      </c>
      <c r="G81" t="str">
        <f>IF(COUNTIF('outliers per techniques &amp; human'!F$3:F$24,'outliers per techniques &amp; human'!V82),'outliers per techniques &amp; human'!V82,"")</f>
        <v/>
      </c>
      <c r="H81" t="str">
        <f>IF(COUNTIF('outliers per techniques &amp; human'!G$3:G$42,'outliers per techniques &amp; human'!V82),'outliers per techniques &amp; human'!V82,"")</f>
        <v/>
      </c>
      <c r="I81" t="str">
        <f>IF(COUNTIF('outliers per techniques &amp; human'!H$3:H$42,'outliers per techniques &amp; human'!V82),'outliers per techniques &amp; human'!V82,"")</f>
        <v/>
      </c>
      <c r="J81" t="str">
        <f>IF(COUNTIF('outliers per techniques &amp; human'!I$3:I$21,'outliers per techniques &amp; human'!V82),'outliers per techniques &amp; human'!V82,"")</f>
        <v/>
      </c>
      <c r="K81" t="str">
        <f>IF(COUNTIF('outliers per techniques &amp; human'!J$3:J$47,'outliers per techniques &amp; human'!V82),'outliers per techniques &amp; human'!V82,"")</f>
        <v/>
      </c>
      <c r="L81" t="str">
        <f>IF(COUNTIF('outliers per techniques &amp; human'!K$3:K$78,'outliers per techniques &amp; human'!V82),'outliers per techniques &amp; human'!V82,"")</f>
        <v/>
      </c>
      <c r="M81" t="str">
        <f>IF(COUNTIF('outliers per techniques &amp; human'!L$3:L$17,'outliers per techniques &amp; human'!V82),'outliers per techniques &amp; human'!V82,"")</f>
        <v/>
      </c>
      <c r="N81" t="str">
        <f>IF(COUNTIF('outliers per techniques &amp; human'!M$3:M$200,'outliers per techniques &amp; human'!V82),'outliers per techniques &amp; human'!V82,"")</f>
        <v>informationsextraktion</v>
      </c>
      <c r="O81" t="str">
        <f>IF(COUNTIF('outliers per techniques &amp; human'!N$3:N$25,'outliers per techniques &amp; human'!V82),'outliers per techniques &amp; human'!V82,"")</f>
        <v/>
      </c>
      <c r="P81" t="str">
        <f>IF(COUNTIF('outliers per techniques &amp; human'!O$3:O$368,'outliers per techniques &amp; human'!V82),'outliers per techniques &amp; human'!V82,"")</f>
        <v/>
      </c>
    </row>
    <row r="82" spans="2:16" x14ac:dyDescent="0.25">
      <c r="B82" s="4" t="str">
        <f>IF(COUNTIF('outliers per techniques &amp; human'!A$3:A$28,'outliers per techniques &amp; human'!$V83),'outliers per techniques &amp; human'!$V83,"")</f>
        <v/>
      </c>
      <c r="C82" t="str">
        <f>IF(COUNTIF('outliers per techniques &amp; human'!B$3:B$28,'outliers per techniques &amp; human'!V83),'outliers per techniques &amp; human'!V83,"")</f>
        <v/>
      </c>
      <c r="D82" t="str">
        <f>IF(COUNTIF('outliers per techniques &amp; human'!C$3:C$38,'outliers per techniques &amp; human'!V83),'outliers per techniques &amp; human'!V83,"")</f>
        <v/>
      </c>
      <c r="E82" t="str">
        <f>IF(COUNTIF('outliers per techniques &amp; human'!D$3:D$38,'outliers per techniques &amp; human'!V83),'outliers per techniques &amp; human'!V83,"")</f>
        <v/>
      </c>
      <c r="F82" t="str">
        <f>IF(COUNTIF('outliers per techniques &amp; human'!E$3:E$24,'outliers per techniques &amp; human'!V83),'outliers per techniques &amp; human'!V83,"")</f>
        <v/>
      </c>
      <c r="G82" t="str">
        <f>IF(COUNTIF('outliers per techniques &amp; human'!F$3:F$24,'outliers per techniques &amp; human'!V83),'outliers per techniques &amp; human'!V83,"")</f>
        <v/>
      </c>
      <c r="H82" t="str">
        <f>IF(COUNTIF('outliers per techniques &amp; human'!G$3:G$42,'outliers per techniques &amp; human'!V83),'outliers per techniques &amp; human'!V83,"")</f>
        <v/>
      </c>
      <c r="I82" t="str">
        <f>IF(COUNTIF('outliers per techniques &amp; human'!H$3:H$42,'outliers per techniques &amp; human'!V83),'outliers per techniques &amp; human'!V83,"")</f>
        <v/>
      </c>
      <c r="J82" t="str">
        <f>IF(COUNTIF('outliers per techniques &amp; human'!I$3:I$21,'outliers per techniques &amp; human'!V83),'outliers per techniques &amp; human'!V83,"")</f>
        <v/>
      </c>
      <c r="K82" t="str">
        <f>IF(COUNTIF('outliers per techniques &amp; human'!J$3:J$47,'outliers per techniques &amp; human'!V83),'outliers per techniques &amp; human'!V83,"")</f>
        <v/>
      </c>
      <c r="L82" t="str">
        <f>IF(COUNTIF('outliers per techniques &amp; human'!K$3:K$78,'outliers per techniques &amp; human'!V83),'outliers per techniques &amp; human'!V83,"")</f>
        <v/>
      </c>
      <c r="M82" t="str">
        <f>IF(COUNTIF('outliers per techniques &amp; human'!L$3:L$17,'outliers per techniques &amp; human'!V83),'outliers per techniques &amp; human'!V83,"")</f>
        <v/>
      </c>
      <c r="N82" t="str">
        <f>IF(COUNTIF('outliers per techniques &amp; human'!M$3:M$200,'outliers per techniques &amp; human'!V83),'outliers per techniques &amp; human'!V83,"")</f>
        <v/>
      </c>
      <c r="O82" t="str">
        <f>IF(COUNTIF('outliers per techniques &amp; human'!N$3:N$25,'outliers per techniques &amp; human'!V83),'outliers per techniques &amp; human'!V83,"")</f>
        <v/>
      </c>
      <c r="P82" t="str">
        <f>IF(COUNTIF('outliers per techniques &amp; human'!O$3:O$368,'outliers per techniques &amp; human'!V83),'outliers per techniques &amp; human'!V83,"")</f>
        <v>geopolitik</v>
      </c>
    </row>
    <row r="83" spans="2:16" x14ac:dyDescent="0.25">
      <c r="B83" s="4" t="str">
        <f>IF(COUNTIF('outliers per techniques &amp; human'!A$3:A$28,'outliers per techniques &amp; human'!$V84),'outliers per techniques &amp; human'!$V84,"")</f>
        <v/>
      </c>
      <c r="C83" t="str">
        <f>IF(COUNTIF('outliers per techniques &amp; human'!B$3:B$28,'outliers per techniques &amp; human'!V84),'outliers per techniques &amp; human'!V84,"")</f>
        <v/>
      </c>
      <c r="D83" t="str">
        <f>IF(COUNTIF('outliers per techniques &amp; human'!C$3:C$38,'outliers per techniques &amp; human'!V84),'outliers per techniques &amp; human'!V84,"")</f>
        <v/>
      </c>
      <c r="E83" t="str">
        <f>IF(COUNTIF('outliers per techniques &amp; human'!D$3:D$38,'outliers per techniques &amp; human'!V84),'outliers per techniques &amp; human'!V84,"")</f>
        <v/>
      </c>
      <c r="F83" t="str">
        <f>IF(COUNTIF('outliers per techniques &amp; human'!E$3:E$24,'outliers per techniques &amp; human'!V84),'outliers per techniques &amp; human'!V84,"")</f>
        <v>ical</v>
      </c>
      <c r="G83" t="str">
        <f>IF(COUNTIF('outliers per techniques &amp; human'!F$3:F$24,'outliers per techniques &amp; human'!V84),'outliers per techniques &amp; human'!V84,"")</f>
        <v>ical</v>
      </c>
      <c r="H83" t="str">
        <f>IF(COUNTIF('outliers per techniques &amp; human'!G$3:G$42,'outliers per techniques &amp; human'!V84),'outliers per techniques &amp; human'!V84,"")</f>
        <v>ical</v>
      </c>
      <c r="I83" t="str">
        <f>IF(COUNTIF('outliers per techniques &amp; human'!H$3:H$42,'outliers per techniques &amp; human'!V84),'outliers per techniques &amp; human'!V84,"")</f>
        <v>ical</v>
      </c>
      <c r="J83" t="str">
        <f>IF(COUNTIF('outliers per techniques &amp; human'!I$3:I$21,'outliers per techniques &amp; human'!V84),'outliers per techniques &amp; human'!V84,"")</f>
        <v/>
      </c>
      <c r="K83" t="str">
        <f>IF(COUNTIF('outliers per techniques &amp; human'!J$3:J$47,'outliers per techniques &amp; human'!V84),'outliers per techniques &amp; human'!V84,"")</f>
        <v/>
      </c>
      <c r="L83" t="str">
        <f>IF(COUNTIF('outliers per techniques &amp; human'!K$3:K$78,'outliers per techniques &amp; human'!V84),'outliers per techniques &amp; human'!V84,"")</f>
        <v/>
      </c>
      <c r="M83" t="str">
        <f>IF(COUNTIF('outliers per techniques &amp; human'!L$3:L$17,'outliers per techniques &amp; human'!V84),'outliers per techniques &amp; human'!V84,"")</f>
        <v/>
      </c>
      <c r="N83" t="str">
        <f>IF(COUNTIF('outliers per techniques &amp; human'!M$3:M$200,'outliers per techniques &amp; human'!V84),'outliers per techniques &amp; human'!V84,"")</f>
        <v/>
      </c>
      <c r="O83" t="str">
        <f>IF(COUNTIF('outliers per techniques &amp; human'!N$3:N$25,'outliers per techniques &amp; human'!V84),'outliers per techniques &amp; human'!V84,"")</f>
        <v/>
      </c>
      <c r="P83" t="str">
        <f>IF(COUNTIF('outliers per techniques &amp; human'!O$3:O$368,'outliers per techniques &amp; human'!V84),'outliers per techniques &amp; human'!V84,"")</f>
        <v/>
      </c>
    </row>
    <row r="84" spans="2:16" x14ac:dyDescent="0.25">
      <c r="B84" s="4" t="str">
        <f>IF(COUNTIF('outliers per techniques &amp; human'!A$3:A$28,'outliers per techniques &amp; human'!$V85),'outliers per techniques &amp; human'!$V85,"")</f>
        <v/>
      </c>
      <c r="C84" t="str">
        <f>IF(COUNTIF('outliers per techniques &amp; human'!B$3:B$28,'outliers per techniques &amp; human'!V85),'outliers per techniques &amp; human'!V85,"")</f>
        <v>informationsdienstleistung</v>
      </c>
      <c r="D84" t="str">
        <f>IF(COUNTIF('outliers per techniques &amp; human'!C$3:C$38,'outliers per techniques &amp; human'!V85),'outliers per techniques &amp; human'!V85,"")</f>
        <v/>
      </c>
      <c r="E84" t="str">
        <f>IF(COUNTIF('outliers per techniques &amp; human'!D$3:D$38,'outliers per techniques &amp; human'!V85),'outliers per techniques &amp; human'!V85,"")</f>
        <v/>
      </c>
      <c r="F84" t="str">
        <f>IF(COUNTIF('outliers per techniques &amp; human'!E$3:E$24,'outliers per techniques &amp; human'!V85),'outliers per techniques &amp; human'!V85,"")</f>
        <v/>
      </c>
      <c r="G84" t="str">
        <f>IF(COUNTIF('outliers per techniques &amp; human'!F$3:F$24,'outliers per techniques &amp; human'!V85),'outliers per techniques &amp; human'!V85,"")</f>
        <v/>
      </c>
      <c r="H84" t="str">
        <f>IF(COUNTIF('outliers per techniques &amp; human'!G$3:G$42,'outliers per techniques &amp; human'!V85),'outliers per techniques &amp; human'!V85,"")</f>
        <v>informationsdienstleistung</v>
      </c>
      <c r="I84" t="str">
        <f>IF(COUNTIF('outliers per techniques &amp; human'!H$3:H$42,'outliers per techniques &amp; human'!V85),'outliers per techniques &amp; human'!V85,"")</f>
        <v/>
      </c>
      <c r="J84" t="str">
        <f>IF(COUNTIF('outliers per techniques &amp; human'!I$3:I$21,'outliers per techniques &amp; human'!V85),'outliers per techniques &amp; human'!V85,"")</f>
        <v/>
      </c>
      <c r="K84" t="str">
        <f>IF(COUNTIF('outliers per techniques &amp; human'!J$3:J$47,'outliers per techniques &amp; human'!V85),'outliers per techniques &amp; human'!V85,"")</f>
        <v/>
      </c>
      <c r="L84" t="str">
        <f>IF(COUNTIF('outliers per techniques &amp; human'!K$3:K$78,'outliers per techniques &amp; human'!V85),'outliers per techniques &amp; human'!V85,"")</f>
        <v/>
      </c>
      <c r="M84" t="str">
        <f>IF(COUNTIF('outliers per techniques &amp; human'!L$3:L$17,'outliers per techniques &amp; human'!V85),'outliers per techniques &amp; human'!V85,"")</f>
        <v/>
      </c>
      <c r="N84" t="str">
        <f>IF(COUNTIF('outliers per techniques &amp; human'!M$3:M$200,'outliers per techniques &amp; human'!V85),'outliers per techniques &amp; human'!V85,"")</f>
        <v/>
      </c>
      <c r="O84" t="str">
        <f>IF(COUNTIF('outliers per techniques &amp; human'!N$3:N$25,'outliers per techniques &amp; human'!V85),'outliers per techniques &amp; human'!V85,"")</f>
        <v/>
      </c>
      <c r="P84" t="str">
        <f>IF(COUNTIF('outliers per techniques &amp; human'!O$3:O$368,'outliers per techniques &amp; human'!V85),'outliers per techniques &amp; human'!V85,"")</f>
        <v/>
      </c>
    </row>
    <row r="85" spans="2:16" x14ac:dyDescent="0.25">
      <c r="B85" s="4" t="str">
        <f>IF(COUNTIF('outliers per techniques &amp; human'!A$3:A$28,'outliers per techniques &amp; human'!$V86),'outliers per techniques &amp; human'!$V86,"")</f>
        <v/>
      </c>
      <c r="C85" t="str">
        <f>IF(COUNTIF('outliers per techniques &amp; human'!B$3:B$28,'outliers per techniques &amp; human'!V86),'outliers per techniques &amp; human'!V86,"")</f>
        <v/>
      </c>
      <c r="D85" t="str">
        <f>IF(COUNTIF('outliers per techniques &amp; human'!C$3:C$38,'outliers per techniques &amp; human'!V86),'outliers per techniques &amp; human'!V86,"")</f>
        <v/>
      </c>
      <c r="E85" t="str">
        <f>IF(COUNTIF('outliers per techniques &amp; human'!D$3:D$38,'outliers per techniques &amp; human'!V86),'outliers per techniques &amp; human'!V86,"")</f>
        <v/>
      </c>
      <c r="F85" t="str">
        <f>IF(COUNTIF('outliers per techniques &amp; human'!E$3:E$24,'outliers per techniques &amp; human'!V86),'outliers per techniques &amp; human'!V86,"")</f>
        <v/>
      </c>
      <c r="G85" t="str">
        <f>IF(COUNTIF('outliers per techniques &amp; human'!F$3:F$24,'outliers per techniques &amp; human'!V86),'outliers per techniques &amp; human'!V86,"")</f>
        <v/>
      </c>
      <c r="H85" t="str">
        <f>IF(COUNTIF('outliers per techniques &amp; human'!G$3:G$42,'outliers per techniques &amp; human'!V86),'outliers per techniques &amp; human'!V86,"")</f>
        <v/>
      </c>
      <c r="I85" t="str">
        <f>IF(COUNTIF('outliers per techniques &amp; human'!H$3:H$42,'outliers per techniques &amp; human'!V86),'outliers per techniques &amp; human'!V86,"")</f>
        <v/>
      </c>
      <c r="J85" t="str">
        <f>IF(COUNTIF('outliers per techniques &amp; human'!I$3:I$21,'outliers per techniques &amp; human'!V86),'outliers per techniques &amp; human'!V86,"")</f>
        <v/>
      </c>
      <c r="K85" t="str">
        <f>IF(COUNTIF('outliers per techniques &amp; human'!J$3:J$47,'outliers per techniques &amp; human'!V86),'outliers per techniques &amp; human'!V86,"")</f>
        <v/>
      </c>
      <c r="L85" t="str">
        <f>IF(COUNTIF('outliers per techniques &amp; human'!K$3:K$78,'outliers per techniques &amp; human'!V86),'outliers per techniques &amp; human'!V86,"")</f>
        <v/>
      </c>
      <c r="M85" t="str">
        <f>IF(COUNTIF('outliers per techniques &amp; human'!L$3:L$17,'outliers per techniques &amp; human'!V86),'outliers per techniques &amp; human'!V86,"")</f>
        <v/>
      </c>
      <c r="N85" t="str">
        <f>IF(COUNTIF('outliers per techniques &amp; human'!M$3:M$200,'outliers per techniques &amp; human'!V86),'outliers per techniques &amp; human'!V86,"")</f>
        <v>inkunabeln</v>
      </c>
      <c r="O85" t="str">
        <f>IF(COUNTIF('outliers per techniques &amp; human'!N$3:N$25,'outliers per techniques &amp; human'!V86),'outliers per techniques &amp; human'!V86,"")</f>
        <v/>
      </c>
      <c r="P85" t="str">
        <f>IF(COUNTIF('outliers per techniques &amp; human'!O$3:O$368,'outliers per techniques &amp; human'!V86),'outliers per techniques &amp; human'!V86,"")</f>
        <v/>
      </c>
    </row>
    <row r="86" spans="2:16" x14ac:dyDescent="0.25">
      <c r="B86" s="4" t="str">
        <f>IF(COUNTIF('outliers per techniques &amp; human'!A$3:A$28,'outliers per techniques &amp; human'!$V87),'outliers per techniques &amp; human'!$V87,"")</f>
        <v/>
      </c>
      <c r="C86" t="str">
        <f>IF(COUNTIF('outliers per techniques &amp; human'!B$3:B$28,'outliers per techniques &amp; human'!V87),'outliers per techniques &amp; human'!V87,"")</f>
        <v/>
      </c>
      <c r="D86" t="str">
        <f>IF(COUNTIF('outliers per techniques &amp; human'!C$3:C$38,'outliers per techniques &amp; human'!V87),'outliers per techniques &amp; human'!V87,"")</f>
        <v/>
      </c>
      <c r="E86" t="str">
        <f>IF(COUNTIF('outliers per techniques &amp; human'!D$3:D$38,'outliers per techniques &amp; human'!V87),'outliers per techniques &amp; human'!V87,"")</f>
        <v/>
      </c>
      <c r="F86" t="str">
        <f>IF(COUNTIF('outliers per techniques &amp; human'!E$3:E$24,'outliers per techniques &amp; human'!V87),'outliers per techniques &amp; human'!V87,"")</f>
        <v/>
      </c>
      <c r="G86" t="str">
        <f>IF(COUNTIF('outliers per techniques &amp; human'!F$3:F$24,'outliers per techniques &amp; human'!V87),'outliers per techniques &amp; human'!V87,"")</f>
        <v/>
      </c>
      <c r="H86" t="str">
        <f>IF(COUNTIF('outliers per techniques &amp; human'!G$3:G$42,'outliers per techniques &amp; human'!V87),'outliers per techniques &amp; human'!V87,"")</f>
        <v/>
      </c>
      <c r="I86" t="str">
        <f>IF(COUNTIF('outliers per techniques &amp; human'!H$3:H$42,'outliers per techniques &amp; human'!V87),'outliers per techniques &amp; human'!V87,"")</f>
        <v/>
      </c>
      <c r="J86" t="str">
        <f>IF(COUNTIF('outliers per techniques &amp; human'!I$3:I$21,'outliers per techniques &amp; human'!V87),'outliers per techniques &amp; human'!V87,"")</f>
        <v/>
      </c>
      <c r="K86" t="str">
        <f>IF(COUNTIF('outliers per techniques &amp; human'!J$3:J$47,'outliers per techniques &amp; human'!V87),'outliers per techniques &amp; human'!V87,"")</f>
        <v/>
      </c>
      <c r="L86" t="str">
        <f>IF(COUNTIF('outliers per techniques &amp; human'!K$3:K$78,'outliers per techniques &amp; human'!V87),'outliers per techniques &amp; human'!V87,"")</f>
        <v/>
      </c>
      <c r="M86" t="str">
        <f>IF(COUNTIF('outliers per techniques &amp; human'!L$3:L$17,'outliers per techniques &amp; human'!V87),'outliers per techniques &amp; human'!V87,"")</f>
        <v/>
      </c>
      <c r="N86" t="str">
        <f>IF(COUNTIF('outliers per techniques &amp; human'!M$3:M$200,'outliers per techniques &amp; human'!V87),'outliers per techniques &amp; human'!V87,"")</f>
        <v>two</v>
      </c>
      <c r="O86" t="str">
        <f>IF(COUNTIF('outliers per techniques &amp; human'!N$3:N$25,'outliers per techniques &amp; human'!V87),'outliers per techniques &amp; human'!V87,"")</f>
        <v/>
      </c>
      <c r="P86" t="str">
        <f>IF(COUNTIF('outliers per techniques &amp; human'!O$3:O$368,'outliers per techniques &amp; human'!V87),'outliers per techniques &amp; human'!V87,"")</f>
        <v/>
      </c>
    </row>
    <row r="87" spans="2:16" x14ac:dyDescent="0.25">
      <c r="B87" s="4" t="str">
        <f>IF(COUNTIF('outliers per techniques &amp; human'!A$3:A$28,'outliers per techniques &amp; human'!$V88),'outliers per techniques &amp; human'!$V88,"")</f>
        <v/>
      </c>
      <c r="C87" t="str">
        <f>IF(COUNTIF('outliers per techniques &amp; human'!B$3:B$28,'outliers per techniques &amp; human'!V88),'outliers per techniques &amp; human'!V88,"")</f>
        <v/>
      </c>
      <c r="D87" t="str">
        <f>IF(COUNTIF('outliers per techniques &amp; human'!C$3:C$38,'outliers per techniques &amp; human'!V88),'outliers per techniques &amp; human'!V88,"")</f>
        <v/>
      </c>
      <c r="E87" t="str">
        <f>IF(COUNTIF('outliers per techniques &amp; human'!D$3:D$38,'outliers per techniques &amp; human'!V88),'outliers per techniques &amp; human'!V88,"")</f>
        <v/>
      </c>
      <c r="F87" t="str">
        <f>IF(COUNTIF('outliers per techniques &amp; human'!E$3:E$24,'outliers per techniques &amp; human'!V88),'outliers per techniques &amp; human'!V88,"")</f>
        <v/>
      </c>
      <c r="G87" t="str">
        <f>IF(COUNTIF('outliers per techniques &amp; human'!F$3:F$24,'outliers per techniques &amp; human'!V88),'outliers per techniques &amp; human'!V88,"")</f>
        <v/>
      </c>
      <c r="H87" t="str">
        <f>IF(COUNTIF('outliers per techniques &amp; human'!G$3:G$42,'outliers per techniques &amp; human'!V88),'outliers per techniques &amp; human'!V88,"")</f>
        <v/>
      </c>
      <c r="I87" t="str">
        <f>IF(COUNTIF('outliers per techniques &amp; human'!H$3:H$42,'outliers per techniques &amp; human'!V88),'outliers per techniques &amp; human'!V88,"")</f>
        <v/>
      </c>
      <c r="J87" t="str">
        <f>IF(COUNTIF('outliers per techniques &amp; human'!I$3:I$21,'outliers per techniques &amp; human'!V88),'outliers per techniques &amp; human'!V88,"")</f>
        <v/>
      </c>
      <c r="K87" t="str">
        <f>IF(COUNTIF('outliers per techniques &amp; human'!J$3:J$47,'outliers per techniques &amp; human'!V88),'outliers per techniques &amp; human'!V88,"")</f>
        <v/>
      </c>
      <c r="L87" t="str">
        <f>IF(COUNTIF('outliers per techniques &amp; human'!K$3:K$78,'outliers per techniques &amp; human'!V88),'outliers per techniques &amp; human'!V88,"")</f>
        <v/>
      </c>
      <c r="M87" t="str">
        <f>IF(COUNTIF('outliers per techniques &amp; human'!L$3:L$17,'outliers per techniques &amp; human'!V88),'outliers per techniques &amp; human'!V88,"")</f>
        <v/>
      </c>
      <c r="N87" t="str">
        <f>IF(COUNTIF('outliers per techniques &amp; human'!M$3:M$200,'outliers per techniques &amp; human'!V88),'outliers per techniques &amp; human'!V88,"")</f>
        <v>kartografie</v>
      </c>
      <c r="O87" t="str">
        <f>IF(COUNTIF('outliers per techniques &amp; human'!N$3:N$25,'outliers per techniques &amp; human'!V88),'outliers per techniques &amp; human'!V88,"")</f>
        <v/>
      </c>
      <c r="P87" t="str">
        <f>IF(COUNTIF('outliers per techniques &amp; human'!O$3:O$368,'outliers per techniques &amp; human'!V88),'outliers per techniques &amp; human'!V88,"")</f>
        <v/>
      </c>
    </row>
    <row r="88" spans="2:16" x14ac:dyDescent="0.25">
      <c r="B88" s="4" t="str">
        <f>IF(COUNTIF('outliers per techniques &amp; human'!A$3:A$28,'outliers per techniques &amp; human'!$V89),'outliers per techniques &amp; human'!$V89,"")</f>
        <v/>
      </c>
      <c r="C88" t="str">
        <f>IF(COUNTIF('outliers per techniques &amp; human'!B$3:B$28,'outliers per techniques &amp; human'!V89),'outliers per techniques &amp; human'!V89,"")</f>
        <v/>
      </c>
      <c r="D88" t="str">
        <f>IF(COUNTIF('outliers per techniques &amp; human'!C$3:C$38,'outliers per techniques &amp; human'!V89),'outliers per techniques &amp; human'!V89,"")</f>
        <v/>
      </c>
      <c r="E88" t="str">
        <f>IF(COUNTIF('outliers per techniques &amp; human'!D$3:D$38,'outliers per techniques &amp; human'!V89),'outliers per techniques &amp; human'!V89,"")</f>
        <v/>
      </c>
      <c r="F88" t="str">
        <f>IF(COUNTIF('outliers per techniques &amp; human'!E$3:E$24,'outliers per techniques &amp; human'!V89),'outliers per techniques &amp; human'!V89,"")</f>
        <v/>
      </c>
      <c r="G88" t="str">
        <f>IF(COUNTIF('outliers per techniques &amp; human'!F$3:F$24,'outliers per techniques &amp; human'!V89),'outliers per techniques &amp; human'!V89,"")</f>
        <v/>
      </c>
      <c r="H88" t="str">
        <f>IF(COUNTIF('outliers per techniques &amp; human'!G$3:G$42,'outliers per techniques &amp; human'!V89),'outliers per techniques &amp; human'!V89,"")</f>
        <v/>
      </c>
      <c r="I88" t="str">
        <f>IF(COUNTIF('outliers per techniques &amp; human'!H$3:H$42,'outliers per techniques &amp; human'!V89),'outliers per techniques &amp; human'!V89,"")</f>
        <v/>
      </c>
      <c r="J88" t="str">
        <f>IF(COUNTIF('outliers per techniques &amp; human'!I$3:I$21,'outliers per techniques &amp; human'!V89),'outliers per techniques &amp; human'!V89,"")</f>
        <v/>
      </c>
      <c r="K88" t="str">
        <f>IF(COUNTIF('outliers per techniques &amp; human'!J$3:J$47,'outliers per techniques &amp; human'!V89),'outliers per techniques &amp; human'!V89,"")</f>
        <v/>
      </c>
      <c r="L88" t="str">
        <f>IF(COUNTIF('outliers per techniques &amp; human'!K$3:K$78,'outliers per techniques &amp; human'!V89),'outliers per techniques &amp; human'!V89,"")</f>
        <v/>
      </c>
      <c r="M88" t="str">
        <f>IF(COUNTIF('outliers per techniques &amp; human'!L$3:L$17,'outliers per techniques &amp; human'!V89),'outliers per techniques &amp; human'!V89,"")</f>
        <v/>
      </c>
      <c r="N88" t="str">
        <f>IF(COUNTIF('outliers per techniques &amp; human'!M$3:M$200,'outliers per techniques &amp; human'!V89),'outliers per techniques &amp; human'!V89,"")</f>
        <v>paulus</v>
      </c>
      <c r="O88" t="str">
        <f>IF(COUNTIF('outliers per techniques &amp; human'!N$3:N$25,'outliers per techniques &amp; human'!V89),'outliers per techniques &amp; human'!V89,"")</f>
        <v/>
      </c>
      <c r="P88" t="str">
        <f>IF(COUNTIF('outliers per techniques &amp; human'!O$3:O$368,'outliers per techniques &amp; human'!V89),'outliers per techniques &amp; human'!V89,"")</f>
        <v>paulus</v>
      </c>
    </row>
    <row r="89" spans="2:16" x14ac:dyDescent="0.25">
      <c r="B89" s="4" t="str">
        <f>IF(COUNTIF('outliers per techniques &amp; human'!A$3:A$28,'outliers per techniques &amp; human'!$V90),'outliers per techniques &amp; human'!$V90,"")</f>
        <v/>
      </c>
      <c r="C89" t="str">
        <f>IF(COUNTIF('outliers per techniques &amp; human'!B$3:B$28,'outliers per techniques &amp; human'!V90),'outliers per techniques &amp; human'!V90,"")</f>
        <v/>
      </c>
      <c r="D89" t="str">
        <f>IF(COUNTIF('outliers per techniques &amp; human'!C$3:C$38,'outliers per techniques &amp; human'!V90),'outliers per techniques &amp; human'!V90,"")</f>
        <v/>
      </c>
      <c r="E89" t="str">
        <f>IF(COUNTIF('outliers per techniques &amp; human'!D$3:D$38,'outliers per techniques &amp; human'!V90),'outliers per techniques &amp; human'!V90,"")</f>
        <v/>
      </c>
      <c r="F89" t="str">
        <f>IF(COUNTIF('outliers per techniques &amp; human'!E$3:E$24,'outliers per techniques &amp; human'!V90),'outliers per techniques &amp; human'!V90,"")</f>
        <v/>
      </c>
      <c r="G89" t="str">
        <f>IF(COUNTIF('outliers per techniques &amp; human'!F$3:F$24,'outliers per techniques &amp; human'!V90),'outliers per techniques &amp; human'!V90,"")</f>
        <v/>
      </c>
      <c r="H89" t="str">
        <f>IF(COUNTIF('outliers per techniques &amp; human'!G$3:G$42,'outliers per techniques &amp; human'!V90),'outliers per techniques &amp; human'!V90,"")</f>
        <v/>
      </c>
      <c r="I89" t="str">
        <f>IF(COUNTIF('outliers per techniques &amp; human'!H$3:H$42,'outliers per techniques &amp; human'!V90),'outliers per techniques &amp; human'!V90,"")</f>
        <v/>
      </c>
      <c r="J89" t="str">
        <f>IF(COUNTIF('outliers per techniques &amp; human'!I$3:I$21,'outliers per techniques &amp; human'!V90),'outliers per techniques &amp; human'!V90,"")</f>
        <v/>
      </c>
      <c r="K89" t="str">
        <f>IF(COUNTIF('outliers per techniques &amp; human'!J$3:J$47,'outliers per techniques &amp; human'!V90),'outliers per techniques &amp; human'!V90,"")</f>
        <v/>
      </c>
      <c r="L89" t="str">
        <f>IF(COUNTIF('outliers per techniques &amp; human'!K$3:K$78,'outliers per techniques &amp; human'!V90),'outliers per techniques &amp; human'!V90,"")</f>
        <v/>
      </c>
      <c r="M89" t="str">
        <f>IF(COUNTIF('outliers per techniques &amp; human'!L$3:L$17,'outliers per techniques &amp; human'!V90),'outliers per techniques &amp; human'!V90,"")</f>
        <v/>
      </c>
      <c r="N89" t="str">
        <f>IF(COUNTIF('outliers per techniques &amp; human'!M$3:M$200,'outliers per techniques &amp; human'!V90),'outliers per techniques &amp; human'!V90,"")</f>
        <v>prosopographie</v>
      </c>
      <c r="O89" t="str">
        <f>IF(COUNTIF('outliers per techniques &amp; human'!N$3:N$25,'outliers per techniques &amp; human'!V90),'outliers per techniques &amp; human'!V90,"")</f>
        <v/>
      </c>
      <c r="P89" t="str">
        <f>IF(COUNTIF('outliers per techniques &amp; human'!O$3:O$368,'outliers per techniques &amp; human'!V90),'outliers per techniques &amp; human'!V90,"")</f>
        <v/>
      </c>
    </row>
    <row r="90" spans="2:16" x14ac:dyDescent="0.25">
      <c r="B90" s="4" t="str">
        <f>IF(COUNTIF('outliers per techniques &amp; human'!A$3:A$28,'outliers per techniques &amp; human'!$V91),'outliers per techniques &amp; human'!$V91,"")</f>
        <v/>
      </c>
      <c r="C90" t="str">
        <f>IF(COUNTIF('outliers per techniques &amp; human'!B$3:B$28,'outliers per techniques &amp; human'!V91),'outliers per techniques &amp; human'!V91,"")</f>
        <v/>
      </c>
      <c r="D90" t="str">
        <f>IF(COUNTIF('outliers per techniques &amp; human'!C$3:C$38,'outliers per techniques &amp; human'!V91),'outliers per techniques &amp; human'!V91,"")</f>
        <v/>
      </c>
      <c r="E90" t="str">
        <f>IF(COUNTIF('outliers per techniques &amp; human'!D$3:D$38,'outliers per techniques &amp; human'!V91),'outliers per techniques &amp; human'!V91,"")</f>
        <v/>
      </c>
      <c r="F90" t="str">
        <f>IF(COUNTIF('outliers per techniques &amp; human'!E$3:E$24,'outliers per techniques &amp; human'!V91),'outliers per techniques &amp; human'!V91,"")</f>
        <v/>
      </c>
      <c r="G90" t="str">
        <f>IF(COUNTIF('outliers per techniques &amp; human'!F$3:F$24,'outliers per techniques &amp; human'!V91),'outliers per techniques &amp; human'!V91,"")</f>
        <v/>
      </c>
      <c r="H90" t="str">
        <f>IF(COUNTIF('outliers per techniques &amp; human'!G$3:G$42,'outliers per techniques &amp; human'!V91),'outliers per techniques &amp; human'!V91,"")</f>
        <v/>
      </c>
      <c r="I90" t="str">
        <f>IF(COUNTIF('outliers per techniques &amp; human'!H$3:H$42,'outliers per techniques &amp; human'!V91),'outliers per techniques &amp; human'!V91,"")</f>
        <v/>
      </c>
      <c r="J90" t="str">
        <f>IF(COUNTIF('outliers per techniques &amp; human'!I$3:I$21,'outliers per techniques &amp; human'!V91),'outliers per techniques &amp; human'!V91,"")</f>
        <v/>
      </c>
      <c r="K90" t="str">
        <f>IF(COUNTIF('outliers per techniques &amp; human'!J$3:J$47,'outliers per techniques &amp; human'!V91),'outliers per techniques &amp; human'!V91,"")</f>
        <v/>
      </c>
      <c r="L90" t="str">
        <f>IF(COUNTIF('outliers per techniques &amp; human'!K$3:K$78,'outliers per techniques &amp; human'!V91),'outliers per techniques &amp; human'!V91,"")</f>
        <v>bullshit</v>
      </c>
      <c r="M90" t="str">
        <f>IF(COUNTIF('outliers per techniques &amp; human'!L$3:L$17,'outliers per techniques &amp; human'!V91),'outliers per techniques &amp; human'!V91,"")</f>
        <v/>
      </c>
      <c r="N90" t="str">
        <f>IF(COUNTIF('outliers per techniques &amp; human'!M$3:M$200,'outliers per techniques &amp; human'!V91),'outliers per techniques &amp; human'!V91,"")</f>
        <v>bullshit</v>
      </c>
      <c r="O90" t="str">
        <f>IF(COUNTIF('outliers per techniques &amp; human'!N$3:N$25,'outliers per techniques &amp; human'!V91),'outliers per techniques &amp; human'!V91,"")</f>
        <v/>
      </c>
      <c r="P90" t="str">
        <f>IF(COUNTIF('outliers per techniques &amp; human'!O$3:O$368,'outliers per techniques &amp; human'!V91),'outliers per techniques &amp; human'!V91,"")</f>
        <v/>
      </c>
    </row>
    <row r="91" spans="2:16" x14ac:dyDescent="0.25">
      <c r="B91" s="4" t="str">
        <f>IF(COUNTIF('outliers per techniques &amp; human'!A$3:A$28,'outliers per techniques &amp; human'!$V92),'outliers per techniques &amp; human'!$V92,"")</f>
        <v/>
      </c>
      <c r="C91" t="str">
        <f>IF(COUNTIF('outliers per techniques &amp; human'!B$3:B$28,'outliers per techniques &amp; human'!V92),'outliers per techniques &amp; human'!V92,"")</f>
        <v/>
      </c>
      <c r="D91" t="str">
        <f>IF(COUNTIF('outliers per techniques &amp; human'!C$3:C$38,'outliers per techniques &amp; human'!V92),'outliers per techniques &amp; human'!V92,"")</f>
        <v>politologie</v>
      </c>
      <c r="E91" t="str">
        <f>IF(COUNTIF('outliers per techniques &amp; human'!D$3:D$38,'outliers per techniques &amp; human'!V92),'outliers per techniques &amp; human'!V92,"")</f>
        <v/>
      </c>
      <c r="F91" t="str">
        <f>IF(COUNTIF('outliers per techniques &amp; human'!E$3:E$24,'outliers per techniques &amp; human'!V92),'outliers per techniques &amp; human'!V92,"")</f>
        <v/>
      </c>
      <c r="G91" t="str">
        <f>IF(COUNTIF('outliers per techniques &amp; human'!F$3:F$24,'outliers per techniques &amp; human'!V92),'outliers per techniques &amp; human'!V92,"")</f>
        <v/>
      </c>
      <c r="H91" t="str">
        <f>IF(COUNTIF('outliers per techniques &amp; human'!G$3:G$42,'outliers per techniques &amp; human'!V92),'outliers per techniques &amp; human'!V92,"")</f>
        <v/>
      </c>
      <c r="I91" t="str">
        <f>IF(COUNTIF('outliers per techniques &amp; human'!H$3:H$42,'outliers per techniques &amp; human'!V92),'outliers per techniques &amp; human'!V92,"")</f>
        <v/>
      </c>
      <c r="J91" t="str">
        <f>IF(COUNTIF('outliers per techniques &amp; human'!I$3:I$21,'outliers per techniques &amp; human'!V92),'outliers per techniques &amp; human'!V92,"")</f>
        <v/>
      </c>
      <c r="K91" t="str">
        <f>IF(COUNTIF('outliers per techniques &amp; human'!J$3:J$47,'outliers per techniques &amp; human'!V92),'outliers per techniques &amp; human'!V92,"")</f>
        <v/>
      </c>
      <c r="L91" t="str">
        <f>IF(COUNTIF('outliers per techniques &amp; human'!K$3:K$78,'outliers per techniques &amp; human'!V92),'outliers per techniques &amp; human'!V92,"")</f>
        <v/>
      </c>
      <c r="M91" t="str">
        <f>IF(COUNTIF('outliers per techniques &amp; human'!L$3:L$17,'outliers per techniques &amp; human'!V92),'outliers per techniques &amp; human'!V92,"")</f>
        <v/>
      </c>
      <c r="N91" t="str">
        <f>IF(COUNTIF('outliers per techniques &amp; human'!M$3:M$200,'outliers per techniques &amp; human'!V92),'outliers per techniques &amp; human'!V92,"")</f>
        <v/>
      </c>
      <c r="O91" t="str">
        <f>IF(COUNTIF('outliers per techniques &amp; human'!N$3:N$25,'outliers per techniques &amp; human'!V92),'outliers per techniques &amp; human'!V92,"")</f>
        <v/>
      </c>
      <c r="P91" t="str">
        <f>IF(COUNTIF('outliers per techniques &amp; human'!O$3:O$368,'outliers per techniques &amp; human'!V92),'outliers per techniques &amp; human'!V92,"")</f>
        <v/>
      </c>
    </row>
    <row r="92" spans="2:16" x14ac:dyDescent="0.25">
      <c r="B92" s="4" t="str">
        <f>IF(COUNTIF('outliers per techniques &amp; human'!A$3:A$28,'outliers per techniques &amp; human'!$V93),'outliers per techniques &amp; human'!$V93,"")</f>
        <v/>
      </c>
      <c r="C92" t="str">
        <f>IF(COUNTIF('outliers per techniques &amp; human'!B$3:B$28,'outliers per techniques &amp; human'!V93),'outliers per techniques &amp; human'!V93,"")</f>
        <v/>
      </c>
      <c r="D92" t="str">
        <f>IF(COUNTIF('outliers per techniques &amp; human'!C$3:C$38,'outliers per techniques &amp; human'!V93),'outliers per techniques &amp; human'!V93,"")</f>
        <v/>
      </c>
      <c r="E92" t="str">
        <f>IF(COUNTIF('outliers per techniques &amp; human'!D$3:D$38,'outliers per techniques &amp; human'!V93),'outliers per techniques &amp; human'!V93,"")</f>
        <v/>
      </c>
      <c r="F92" t="str">
        <f>IF(COUNTIF('outliers per techniques &amp; human'!E$3:E$24,'outliers per techniques &amp; human'!V93),'outliers per techniques &amp; human'!V93,"")</f>
        <v/>
      </c>
      <c r="G92" t="str">
        <f>IF(COUNTIF('outliers per techniques &amp; human'!F$3:F$24,'outliers per techniques &amp; human'!V93),'outliers per techniques &amp; human'!V93,"")</f>
        <v/>
      </c>
      <c r="H92" t="str">
        <f>IF(COUNTIF('outliers per techniques &amp; human'!G$3:G$42,'outliers per techniques &amp; human'!V93),'outliers per techniques &amp; human'!V93,"")</f>
        <v/>
      </c>
      <c r="I92" t="str">
        <f>IF(COUNTIF('outliers per techniques &amp; human'!H$3:H$42,'outliers per techniques &amp; human'!V93),'outliers per techniques &amp; human'!V93,"")</f>
        <v/>
      </c>
      <c r="J92" t="str">
        <f>IF(COUNTIF('outliers per techniques &amp; human'!I$3:I$21,'outliers per techniques &amp; human'!V93),'outliers per techniques &amp; human'!V93,"")</f>
        <v/>
      </c>
      <c r="K92" t="str">
        <f>IF(COUNTIF('outliers per techniques &amp; human'!J$3:J$47,'outliers per techniques &amp; human'!V93),'outliers per techniques &amp; human'!V93,"")</f>
        <v/>
      </c>
      <c r="L92" t="str">
        <f>IF(COUNTIF('outliers per techniques &amp; human'!K$3:K$78,'outliers per techniques &amp; human'!V93),'outliers per techniques &amp; human'!V93,"")</f>
        <v/>
      </c>
      <c r="M92" t="str">
        <f>IF(COUNTIF('outliers per techniques &amp; human'!L$3:L$17,'outliers per techniques &amp; human'!V93),'outliers per techniques &amp; human'!V93,"")</f>
        <v/>
      </c>
      <c r="N92" t="str">
        <f>IF(COUNTIF('outliers per techniques &amp; human'!M$3:M$200,'outliers per techniques &amp; human'!V93),'outliers per techniques &amp; human'!V93,"")</f>
        <v/>
      </c>
      <c r="O92" t="str">
        <f>IF(COUNTIF('outliers per techniques &amp; human'!N$3:N$25,'outliers per techniques &amp; human'!V93),'outliers per techniques &amp; human'!V93,"")</f>
        <v/>
      </c>
      <c r="P92" t="str">
        <f>IF(COUNTIF('outliers per techniques &amp; human'!O$3:O$368,'outliers per techniques &amp; human'!V93),'outliers per techniques &amp; human'!V93,"")</f>
        <v>aosd</v>
      </c>
    </row>
    <row r="93" spans="2:16" x14ac:dyDescent="0.25">
      <c r="B93" s="4" t="str">
        <f>IF(COUNTIF('outliers per techniques &amp; human'!A$3:A$28,'outliers per techniques &amp; human'!$V94),'outliers per techniques &amp; human'!$V94,"")</f>
        <v/>
      </c>
      <c r="C93" t="str">
        <f>IF(COUNTIF('outliers per techniques &amp; human'!B$3:B$28,'outliers per techniques &amp; human'!V94),'outliers per techniques &amp; human'!V94,"")</f>
        <v/>
      </c>
      <c r="D93" t="str">
        <f>IF(COUNTIF('outliers per techniques &amp; human'!C$3:C$38,'outliers per techniques &amp; human'!V94),'outliers per techniques &amp; human'!V94,"")</f>
        <v/>
      </c>
      <c r="E93" t="str">
        <f>IF(COUNTIF('outliers per techniques &amp; human'!D$3:D$38,'outliers per techniques &amp; human'!V94),'outliers per techniques &amp; human'!V94,"")</f>
        <v/>
      </c>
      <c r="F93" t="str">
        <f>IF(COUNTIF('outliers per techniques &amp; human'!E$3:E$24,'outliers per techniques &amp; human'!V94),'outliers per techniques &amp; human'!V94,"")</f>
        <v/>
      </c>
      <c r="G93" t="str">
        <f>IF(COUNTIF('outliers per techniques &amp; human'!F$3:F$24,'outliers per techniques &amp; human'!V94),'outliers per techniques &amp; human'!V94,"")</f>
        <v/>
      </c>
      <c r="H93" t="str">
        <f>IF(COUNTIF('outliers per techniques &amp; human'!G$3:G$42,'outliers per techniques &amp; human'!V94),'outliers per techniques &amp; human'!V94,"")</f>
        <v/>
      </c>
      <c r="I93" t="str">
        <f>IF(COUNTIF('outliers per techniques &amp; human'!H$3:H$42,'outliers per techniques &amp; human'!V94),'outliers per techniques &amp; human'!V94,"")</f>
        <v/>
      </c>
      <c r="J93" t="str">
        <f>IF(COUNTIF('outliers per techniques &amp; human'!I$3:I$21,'outliers per techniques &amp; human'!V94),'outliers per techniques &amp; human'!V94,"")</f>
        <v/>
      </c>
      <c r="K93" t="str">
        <f>IF(COUNTIF('outliers per techniques &amp; human'!J$3:J$47,'outliers per techniques &amp; human'!V94),'outliers per techniques &amp; human'!V94,"")</f>
        <v/>
      </c>
      <c r="L93" t="str">
        <f>IF(COUNTIF('outliers per techniques &amp; human'!K$3:K$78,'outliers per techniques &amp; human'!V94),'outliers per techniques &amp; human'!V94,"")</f>
        <v/>
      </c>
      <c r="M93" t="str">
        <f>IF(COUNTIF('outliers per techniques &amp; human'!L$3:L$17,'outliers per techniques &amp; human'!V94),'outliers per techniques &amp; human'!V94,"")</f>
        <v/>
      </c>
      <c r="N93" t="str">
        <f>IF(COUNTIF('outliers per techniques &amp; human'!M$3:M$200,'outliers per techniques &amp; human'!V94),'outliers per techniques &amp; human'!V94,"")</f>
        <v/>
      </c>
      <c r="O93" t="str">
        <f>IF(COUNTIF('outliers per techniques &amp; human'!N$3:N$25,'outliers per techniques &amp; human'!V94),'outliers per techniques &amp; human'!V94,"")</f>
        <v/>
      </c>
      <c r="P93" t="str">
        <f>IF(COUNTIF('outliers per techniques &amp; human'!O$3:O$368,'outliers per techniques &amp; human'!V94),'outliers per techniques &amp; human'!V94,"")</f>
        <v>scla</v>
      </c>
    </row>
    <row r="94" spans="2:16" x14ac:dyDescent="0.25">
      <c r="B94" s="4" t="str">
        <f>IF(COUNTIF('outliers per techniques &amp; human'!A$3:A$28,'outliers per techniques &amp; human'!$V95),'outliers per techniques &amp; human'!$V95,"")</f>
        <v>cites.ref</v>
      </c>
      <c r="C94" t="str">
        <f>IF(COUNTIF('outliers per techniques &amp; human'!B$3:B$28,'outliers per techniques &amp; human'!V95),'outliers per techniques &amp; human'!V95,"")</f>
        <v/>
      </c>
      <c r="D94" t="str">
        <f>IF(COUNTIF('outliers per techniques &amp; human'!C$3:C$38,'outliers per techniques &amp; human'!V95),'outliers per techniques &amp; human'!V95,"")</f>
        <v>cites.ref</v>
      </c>
      <c r="E94" t="str">
        <f>IF(COUNTIF('outliers per techniques &amp; human'!D$3:D$38,'outliers per techniques &amp; human'!V95),'outliers per techniques &amp; human'!V95,"")</f>
        <v/>
      </c>
      <c r="F94" t="str">
        <f>IF(COUNTIF('outliers per techniques &amp; human'!E$3:E$24,'outliers per techniques &amp; human'!V95),'outliers per techniques &amp; human'!V95,"")</f>
        <v/>
      </c>
      <c r="G94" t="str">
        <f>IF(COUNTIF('outliers per techniques &amp; human'!F$3:F$24,'outliers per techniques &amp; human'!V95),'outliers per techniques &amp; human'!V95,"")</f>
        <v/>
      </c>
      <c r="H94" t="str">
        <f>IF(COUNTIF('outliers per techniques &amp; human'!G$3:G$42,'outliers per techniques &amp; human'!V95),'outliers per techniques &amp; human'!V95,"")</f>
        <v/>
      </c>
      <c r="I94" t="str">
        <f>IF(COUNTIF('outliers per techniques &amp; human'!H$3:H$42,'outliers per techniques &amp; human'!V95),'outliers per techniques &amp; human'!V95,"")</f>
        <v/>
      </c>
      <c r="J94" t="str">
        <f>IF(COUNTIF('outliers per techniques &amp; human'!I$3:I$21,'outliers per techniques &amp; human'!V95),'outliers per techniques &amp; human'!V95,"")</f>
        <v>cites.ref</v>
      </c>
      <c r="K94" t="str">
        <f>IF(COUNTIF('outliers per techniques &amp; human'!J$3:J$47,'outliers per techniques &amp; human'!V95),'outliers per techniques &amp; human'!V95,"")</f>
        <v>cites.ref</v>
      </c>
      <c r="L94" t="str">
        <f>IF(COUNTIF('outliers per techniques &amp; human'!K$3:K$78,'outliers per techniques &amp; human'!V95),'outliers per techniques &amp; human'!V95,"")</f>
        <v>cites.ref</v>
      </c>
      <c r="M94" t="str">
        <f>IF(COUNTIF('outliers per techniques &amp; human'!L$3:L$17,'outliers per techniques &amp; human'!V95),'outliers per techniques &amp; human'!V95,"")</f>
        <v>cites.ref</v>
      </c>
      <c r="N94" t="str">
        <f>IF(COUNTIF('outliers per techniques &amp; human'!M$3:M$200,'outliers per techniques &amp; human'!V95),'outliers per techniques &amp; human'!V95,"")</f>
        <v>cites.ref</v>
      </c>
      <c r="O94" t="str">
        <f>IF(COUNTIF('outliers per techniques &amp; human'!N$3:N$25,'outliers per techniques &amp; human'!V95),'outliers per techniques &amp; human'!V95,"")</f>
        <v/>
      </c>
      <c r="P94" t="str">
        <f>IF(COUNTIF('outliers per techniques &amp; human'!O$3:O$368,'outliers per techniques &amp; human'!V95),'outliers per techniques &amp; human'!V95,"")</f>
        <v>cites.ref</v>
      </c>
    </row>
    <row r="95" spans="2:16" x14ac:dyDescent="0.25">
      <c r="B95" s="4" t="str">
        <f>IF(COUNTIF('outliers per techniques &amp; human'!A$3:A$28,'outliers per techniques &amp; human'!$V96),'outliers per techniques &amp; human'!$V96,"")</f>
        <v/>
      </c>
      <c r="C95" t="str">
        <f>IF(COUNTIF('outliers per techniques &amp; human'!B$3:B$28,'outliers per techniques &amp; human'!V96),'outliers per techniques &amp; human'!V96,"")</f>
        <v/>
      </c>
      <c r="D95" t="str">
        <f>IF(COUNTIF('outliers per techniques &amp; human'!C$3:C$38,'outliers per techniques &amp; human'!V96),'outliers per techniques &amp; human'!V96,"")</f>
        <v/>
      </c>
      <c r="E95" t="str">
        <f>IF(COUNTIF('outliers per techniques &amp; human'!D$3:D$38,'outliers per techniques &amp; human'!V96),'outliers per techniques &amp; human'!V96,"")</f>
        <v/>
      </c>
      <c r="F95" t="str">
        <f>IF(COUNTIF('outliers per techniques &amp; human'!E$3:E$24,'outliers per techniques &amp; human'!V96),'outliers per techniques &amp; human'!V96,"")</f>
        <v/>
      </c>
      <c r="G95" t="str">
        <f>IF(COUNTIF('outliers per techniques &amp; human'!F$3:F$24,'outliers per techniques &amp; human'!V96),'outliers per techniques &amp; human'!V96,"")</f>
        <v/>
      </c>
      <c r="H95" t="str">
        <f>IF(COUNTIF('outliers per techniques &amp; human'!G$3:G$42,'outliers per techniques &amp; human'!V96),'outliers per techniques &amp; human'!V96,"")</f>
        <v/>
      </c>
      <c r="I95" t="str">
        <f>IF(COUNTIF('outliers per techniques &amp; human'!H$3:H$42,'outliers per techniques &amp; human'!V96),'outliers per techniques &amp; human'!V96,"")</f>
        <v/>
      </c>
      <c r="J95" t="str">
        <f>IF(COUNTIF('outliers per techniques &amp; human'!I$3:I$21,'outliers per techniques &amp; human'!V96),'outliers per techniques &amp; human'!V96,"")</f>
        <v/>
      </c>
      <c r="K95" t="str">
        <f>IF(COUNTIF('outliers per techniques &amp; human'!J$3:J$47,'outliers per techniques &amp; human'!V96),'outliers per techniques &amp; human'!V96,"")</f>
        <v/>
      </c>
      <c r="L95" t="str">
        <f>IF(COUNTIF('outliers per techniques &amp; human'!K$3:K$78,'outliers per techniques &amp; human'!V96),'outliers per techniques &amp; human'!V96,"")</f>
        <v/>
      </c>
      <c r="M95" t="str">
        <f>IF(COUNTIF('outliers per techniques &amp; human'!L$3:L$17,'outliers per techniques &amp; human'!V96),'outliers per techniques &amp; human'!V96,"")</f>
        <v/>
      </c>
      <c r="N95" t="str">
        <f>IF(COUNTIF('outliers per techniques &amp; human'!M$3:M$200,'outliers per techniques &amp; human'!V96),'outliers per techniques &amp; human'!V96,"")</f>
        <v/>
      </c>
      <c r="O95" t="str">
        <f>IF(COUNTIF('outliers per techniques &amp; human'!N$3:N$25,'outliers per techniques &amp; human'!V96),'outliers per techniques &amp; human'!V96,"")</f>
        <v/>
      </c>
      <c r="P95" t="str">
        <f>IF(COUNTIF('outliers per techniques &amp; human'!O$3:O$368,'outliers per techniques &amp; human'!V96),'outliers per techniques &amp; human'!V96,"")</f>
        <v>zadar</v>
      </c>
    </row>
    <row r="96" spans="2:16" x14ac:dyDescent="0.25">
      <c r="B96" s="4" t="str">
        <f>IF(COUNTIF('outliers per techniques &amp; human'!A$3:A$28,'outliers per techniques &amp; human'!$V97),'outliers per techniques &amp; human'!$V97,"")</f>
        <v>daanbib</v>
      </c>
      <c r="C96" t="str">
        <f>IF(COUNTIF('outliers per techniques &amp; human'!B$3:B$28,'outliers per techniques &amp; human'!V97),'outliers per techniques &amp; human'!V97,"")</f>
        <v/>
      </c>
      <c r="D96" t="str">
        <f>IF(COUNTIF('outliers per techniques &amp; human'!C$3:C$38,'outliers per techniques &amp; human'!V97),'outliers per techniques &amp; human'!V97,"")</f>
        <v>daanbib</v>
      </c>
      <c r="E96" t="str">
        <f>IF(COUNTIF('outliers per techniques &amp; human'!D$3:D$38,'outliers per techniques &amp; human'!V97),'outliers per techniques &amp; human'!V97,"")</f>
        <v/>
      </c>
      <c r="F96" t="str">
        <f>IF(COUNTIF('outliers per techniques &amp; human'!E$3:E$24,'outliers per techniques &amp; human'!V97),'outliers per techniques &amp; human'!V97,"")</f>
        <v/>
      </c>
      <c r="G96" t="str">
        <f>IF(COUNTIF('outliers per techniques &amp; human'!F$3:F$24,'outliers per techniques &amp; human'!V97),'outliers per techniques &amp; human'!V97,"")</f>
        <v/>
      </c>
      <c r="H96" t="str">
        <f>IF(COUNTIF('outliers per techniques &amp; human'!G$3:G$42,'outliers per techniques &amp; human'!V97),'outliers per techniques &amp; human'!V97,"")</f>
        <v/>
      </c>
      <c r="I96" t="str">
        <f>IF(COUNTIF('outliers per techniques &amp; human'!H$3:H$42,'outliers per techniques &amp; human'!V97),'outliers per techniques &amp; human'!V97,"")</f>
        <v/>
      </c>
      <c r="J96" t="str">
        <f>IF(COUNTIF('outliers per techniques &amp; human'!I$3:I$21,'outliers per techniques &amp; human'!V97),'outliers per techniques &amp; human'!V97,"")</f>
        <v>daanbib</v>
      </c>
      <c r="K96" t="str">
        <f>IF(COUNTIF('outliers per techniques &amp; human'!J$3:J$47,'outliers per techniques &amp; human'!V97),'outliers per techniques &amp; human'!V97,"")</f>
        <v>daanbib</v>
      </c>
      <c r="L96" t="str">
        <f>IF(COUNTIF('outliers per techniques &amp; human'!K$3:K$78,'outliers per techniques &amp; human'!V97),'outliers per techniques &amp; human'!V97,"")</f>
        <v>daanbib</v>
      </c>
      <c r="M96" t="str">
        <f>IF(COUNTIF('outliers per techniques &amp; human'!L$3:L$17,'outliers per techniques &amp; human'!V97),'outliers per techniques &amp; human'!V97,"")</f>
        <v>daanbib</v>
      </c>
      <c r="N96" t="str">
        <f>IF(COUNTIF('outliers per techniques &amp; human'!M$3:M$200,'outliers per techniques &amp; human'!V97),'outliers per techniques &amp; human'!V97,"")</f>
        <v>daanbib</v>
      </c>
      <c r="O96" t="str">
        <f>IF(COUNTIF('outliers per techniques &amp; human'!N$3:N$25,'outliers per techniques &amp; human'!V97),'outliers per techniques &amp; human'!V97,"")</f>
        <v/>
      </c>
      <c r="P96" t="str">
        <f>IF(COUNTIF('outliers per techniques &amp; human'!O$3:O$368,'outliers per techniques &amp; human'!V97),'outliers per techniques &amp; human'!V97,"")</f>
        <v/>
      </c>
    </row>
    <row r="97" spans="2:16" x14ac:dyDescent="0.25">
      <c r="B97" s="4" t="str">
        <f>IF(COUNTIF('outliers per techniques &amp; human'!A$3:A$28,'outliers per techniques &amp; human'!$V98),'outliers per techniques &amp; human'!$V98,"")</f>
        <v/>
      </c>
      <c r="C97" t="str">
        <f>IF(COUNTIF('outliers per techniques &amp; human'!B$3:B$28,'outliers per techniques &amp; human'!V98),'outliers per techniques &amp; human'!V98,"")</f>
        <v/>
      </c>
      <c r="D97" t="str">
        <f>IF(COUNTIF('outliers per techniques &amp; human'!C$3:C$38,'outliers per techniques &amp; human'!V98),'outliers per techniques &amp; human'!V98,"")</f>
        <v/>
      </c>
      <c r="E97" t="str">
        <f>IF(COUNTIF('outliers per techniques &amp; human'!D$3:D$38,'outliers per techniques &amp; human'!V98),'outliers per techniques &amp; human'!V98,"")</f>
        <v/>
      </c>
      <c r="F97" t="str">
        <f>IF(COUNTIF('outliers per techniques &amp; human'!E$3:E$24,'outliers per techniques &amp; human'!V98),'outliers per techniques &amp; human'!V98,"")</f>
        <v/>
      </c>
      <c r="G97" t="str">
        <f>IF(COUNTIF('outliers per techniques &amp; human'!F$3:F$24,'outliers per techniques &amp; human'!V98),'outliers per techniques &amp; human'!V98,"")</f>
        <v/>
      </c>
      <c r="H97" t="str">
        <f>IF(COUNTIF('outliers per techniques &amp; human'!G$3:G$42,'outliers per techniques &amp; human'!V98),'outliers per techniques &amp; human'!V98,"")</f>
        <v/>
      </c>
      <c r="I97" t="str">
        <f>IF(COUNTIF('outliers per techniques &amp; human'!H$3:H$42,'outliers per techniques &amp; human'!V98),'outliers per techniques &amp; human'!V98,"")</f>
        <v/>
      </c>
      <c r="J97" t="str">
        <f>IF(COUNTIF('outliers per techniques &amp; human'!I$3:I$21,'outliers per techniques &amp; human'!V98),'outliers per techniques &amp; human'!V98,"")</f>
        <v/>
      </c>
      <c r="K97" t="str">
        <f>IF(COUNTIF('outliers per techniques &amp; human'!J$3:J$47,'outliers per techniques &amp; human'!V98),'outliers per techniques &amp; human'!V98,"")</f>
        <v/>
      </c>
      <c r="L97" t="str">
        <f>IF(COUNTIF('outliers per techniques &amp; human'!K$3:K$78,'outliers per techniques &amp; human'!V98),'outliers per techniques &amp; human'!V98,"")</f>
        <v/>
      </c>
      <c r="M97" t="str">
        <f>IF(COUNTIF('outliers per techniques &amp; human'!L$3:L$17,'outliers per techniques &amp; human'!V98),'outliers per techniques &amp; human'!V98,"")</f>
        <v/>
      </c>
      <c r="N97" t="str">
        <f>IF(COUNTIF('outliers per techniques &amp; human'!M$3:M$200,'outliers per techniques &amp; human'!V98),'outliers per techniques &amp; human'!V98,"")</f>
        <v/>
      </c>
      <c r="O97" t="str">
        <f>IF(COUNTIF('outliers per techniques &amp; human'!N$3:N$25,'outliers per techniques &amp; human'!V98),'outliers per techniques &amp; human'!V98,"")</f>
        <v/>
      </c>
      <c r="P97" t="str">
        <f>IF(COUNTIF('outliers per techniques &amp; human'!O$3:O$368,'outliers per techniques &amp; human'!V98),'outliers per techniques &amp; human'!V98,"")</f>
        <v>migrationsforschung</v>
      </c>
    </row>
    <row r="98" spans="2:16" x14ac:dyDescent="0.25">
      <c r="B98" s="4" t="str">
        <f>IF(COUNTIF('outliers per techniques &amp; human'!A$3:A$28,'outliers per techniques &amp; human'!$V99),'outliers per techniques &amp; human'!$V99,"")</f>
        <v/>
      </c>
      <c r="C98" t="str">
        <f>IF(COUNTIF('outliers per techniques &amp; human'!B$3:B$28,'outliers per techniques &amp; human'!V99),'outliers per techniques &amp; human'!V99,"")</f>
        <v/>
      </c>
      <c r="D98" t="str">
        <f>IF(COUNTIF('outliers per techniques &amp; human'!C$3:C$38,'outliers per techniques &amp; human'!V99),'outliers per techniques &amp; human'!V99,"")</f>
        <v/>
      </c>
      <c r="E98" t="str">
        <f>IF(COUNTIF('outliers per techniques &amp; human'!D$3:D$38,'outliers per techniques &amp; human'!V99),'outliers per techniques &amp; human'!V99,"")</f>
        <v/>
      </c>
      <c r="F98" t="str">
        <f>IF(COUNTIF('outliers per techniques &amp; human'!E$3:E$24,'outliers per techniques &amp; human'!V99),'outliers per techniques &amp; human'!V99,"")</f>
        <v/>
      </c>
      <c r="G98" t="str">
        <f>IF(COUNTIF('outliers per techniques &amp; human'!F$3:F$24,'outliers per techniques &amp; human'!V99),'outliers per techniques &amp; human'!V99,"")</f>
        <v/>
      </c>
      <c r="H98" t="str">
        <f>IF(COUNTIF('outliers per techniques &amp; human'!G$3:G$42,'outliers per techniques &amp; human'!V99),'outliers per techniques &amp; human'!V99,"")</f>
        <v/>
      </c>
      <c r="I98" t="str">
        <f>IF(COUNTIF('outliers per techniques &amp; human'!H$3:H$42,'outliers per techniques &amp; human'!V99),'outliers per techniques &amp; human'!V99,"")</f>
        <v/>
      </c>
      <c r="J98" t="str">
        <f>IF(COUNTIF('outliers per techniques &amp; human'!I$3:I$21,'outliers per techniques &amp; human'!V99),'outliers per techniques &amp; human'!V99,"")</f>
        <v/>
      </c>
      <c r="K98" t="str">
        <f>IF(COUNTIF('outliers per techniques &amp; human'!J$3:J$47,'outliers per techniques &amp; human'!V99),'outliers per techniques &amp; human'!V99,"")</f>
        <v/>
      </c>
      <c r="L98" t="str">
        <f>IF(COUNTIF('outliers per techniques &amp; human'!K$3:K$78,'outliers per techniques &amp; human'!V99),'outliers per techniques &amp; human'!V99,"")</f>
        <v/>
      </c>
      <c r="M98" t="str">
        <f>IF(COUNTIF('outliers per techniques &amp; human'!L$3:L$17,'outliers per techniques &amp; human'!V99),'outliers per techniques &amp; human'!V99,"")</f>
        <v/>
      </c>
      <c r="N98" t="str">
        <f>IF(COUNTIF('outliers per techniques &amp; human'!M$3:M$200,'outliers per techniques &amp; human'!V99),'outliers per techniques &amp; human'!V99,"")</f>
        <v/>
      </c>
      <c r="O98" t="str">
        <f>IF(COUNTIF('outliers per techniques &amp; human'!N$3:N$25,'outliers per techniques &amp; human'!V99),'outliers per techniques &amp; human'!V99,"")</f>
        <v/>
      </c>
      <c r="P98" t="str">
        <f>IF(COUNTIF('outliers per techniques &amp; human'!O$3:O$368,'outliers per techniques &amp; human'!V99),'outliers per techniques &amp; human'!V99,"")</f>
        <v>platon</v>
      </c>
    </row>
    <row r="99" spans="2:16" x14ac:dyDescent="0.25">
      <c r="B99" s="4" t="str">
        <f>IF(COUNTIF('outliers per techniques &amp; human'!A$3:A$28,'outliers per techniques &amp; human'!$V100),'outliers per techniques &amp; human'!$V100,"")</f>
        <v/>
      </c>
      <c r="C99" t="str">
        <f>IF(COUNTIF('outliers per techniques &amp; human'!B$3:B$28,'outliers per techniques &amp; human'!V100),'outliers per techniques &amp; human'!V100,"")</f>
        <v/>
      </c>
      <c r="D99" t="str">
        <f>IF(COUNTIF('outliers per techniques &amp; human'!C$3:C$38,'outliers per techniques &amp; human'!V100),'outliers per techniques &amp; human'!V100,"")</f>
        <v/>
      </c>
      <c r="E99" t="str">
        <f>IF(COUNTIF('outliers per techniques &amp; human'!D$3:D$38,'outliers per techniques &amp; human'!V100),'outliers per techniques &amp; human'!V100,"")</f>
        <v/>
      </c>
      <c r="F99" t="str">
        <f>IF(COUNTIF('outliers per techniques &amp; human'!E$3:E$24,'outliers per techniques &amp; human'!V100),'outliers per techniques &amp; human'!V100,"")</f>
        <v/>
      </c>
      <c r="G99" t="str">
        <f>IF(COUNTIF('outliers per techniques &amp; human'!F$3:F$24,'outliers per techniques &amp; human'!V100),'outliers per techniques &amp; human'!V100,"")</f>
        <v/>
      </c>
      <c r="H99" t="str">
        <f>IF(COUNTIF('outliers per techniques &amp; human'!G$3:G$42,'outliers per techniques &amp; human'!V100),'outliers per techniques &amp; human'!V100,"")</f>
        <v/>
      </c>
      <c r="I99" t="str">
        <f>IF(COUNTIF('outliers per techniques &amp; human'!H$3:H$42,'outliers per techniques &amp; human'!V100),'outliers per techniques &amp; human'!V100,"")</f>
        <v/>
      </c>
      <c r="J99" t="str">
        <f>IF(COUNTIF('outliers per techniques &amp; human'!I$3:I$21,'outliers per techniques &amp; human'!V100),'outliers per techniques &amp; human'!V100,"")</f>
        <v/>
      </c>
      <c r="K99" t="str">
        <f>IF(COUNTIF('outliers per techniques &amp; human'!J$3:J$47,'outliers per techniques &amp; human'!V100),'outliers per techniques &amp; human'!V100,"")</f>
        <v/>
      </c>
      <c r="L99" t="str">
        <f>IF(COUNTIF('outliers per techniques &amp; human'!K$3:K$78,'outliers per techniques &amp; human'!V100),'outliers per techniques &amp; human'!V100,"")</f>
        <v/>
      </c>
      <c r="M99" t="str">
        <f>IF(COUNTIF('outliers per techniques &amp; human'!L$3:L$17,'outliers per techniques &amp; human'!V100),'outliers per techniques &amp; human'!V100,"")</f>
        <v/>
      </c>
      <c r="N99" t="str">
        <f>IF(COUNTIF('outliers per techniques &amp; human'!M$3:M$200,'outliers per techniques &amp; human'!V100),'outliers per techniques &amp; human'!V100,"")</f>
        <v/>
      </c>
      <c r="O99" t="str">
        <f>IF(COUNTIF('outliers per techniques &amp; human'!N$3:N$25,'outliers per techniques &amp; human'!V100),'outliers per techniques &amp; human'!V100,"")</f>
        <v/>
      </c>
      <c r="P99" t="str">
        <f>IF(COUNTIF('outliers per techniques &amp; human'!O$3:O$368,'outliers per techniques &amp; human'!V100),'outliers per techniques &amp; human'!V100,"")</f>
        <v>keynesianismus</v>
      </c>
    </row>
    <row r="100" spans="2:16" x14ac:dyDescent="0.25">
      <c r="B100" s="4" t="str">
        <f>IF(COUNTIF('outliers per techniques &amp; human'!A$3:A$28,'outliers per techniques &amp; human'!$V101),'outliers per techniques &amp; human'!$V101,"")</f>
        <v/>
      </c>
      <c r="C100" t="str">
        <f>IF(COUNTIF('outliers per techniques &amp; human'!B$3:B$28,'outliers per techniques &amp; human'!V101),'outliers per techniques &amp; human'!V101,"")</f>
        <v/>
      </c>
      <c r="D100" t="str">
        <f>IF(COUNTIF('outliers per techniques &amp; human'!C$3:C$38,'outliers per techniques &amp; human'!V101),'outliers per techniques &amp; human'!V101,"")</f>
        <v/>
      </c>
      <c r="E100" t="str">
        <f>IF(COUNTIF('outliers per techniques &amp; human'!D$3:D$38,'outliers per techniques &amp; human'!V101),'outliers per techniques &amp; human'!V101,"")</f>
        <v/>
      </c>
      <c r="F100" t="str">
        <f>IF(COUNTIF('outliers per techniques &amp; human'!E$3:E$24,'outliers per techniques &amp; human'!V101),'outliers per techniques &amp; human'!V101,"")</f>
        <v/>
      </c>
      <c r="G100" t="str">
        <f>IF(COUNTIF('outliers per techniques &amp; human'!F$3:F$24,'outliers per techniques &amp; human'!V101),'outliers per techniques &amp; human'!V101,"")</f>
        <v/>
      </c>
      <c r="H100" t="str">
        <f>IF(COUNTIF('outliers per techniques &amp; human'!G$3:G$42,'outliers per techniques &amp; human'!V101),'outliers per techniques &amp; human'!V101,"")</f>
        <v/>
      </c>
      <c r="I100" t="str">
        <f>IF(COUNTIF('outliers per techniques &amp; human'!H$3:H$42,'outliers per techniques &amp; human'!V101),'outliers per techniques &amp; human'!V101,"")</f>
        <v/>
      </c>
      <c r="J100" t="str">
        <f>IF(COUNTIF('outliers per techniques &amp; human'!I$3:I$21,'outliers per techniques &amp; human'!V101),'outliers per techniques &amp; human'!V101,"")</f>
        <v/>
      </c>
      <c r="K100" t="str">
        <f>IF(COUNTIF('outliers per techniques &amp; human'!J$3:J$47,'outliers per techniques &amp; human'!V101),'outliers per techniques &amp; human'!V101,"")</f>
        <v/>
      </c>
      <c r="L100" t="str">
        <f>IF(COUNTIF('outliers per techniques &amp; human'!K$3:K$78,'outliers per techniques &amp; human'!V101),'outliers per techniques &amp; human'!V101,"")</f>
        <v/>
      </c>
      <c r="M100" t="str">
        <f>IF(COUNTIF('outliers per techniques &amp; human'!L$3:L$17,'outliers per techniques &amp; human'!V101),'outliers per techniques &amp; human'!V101,"")</f>
        <v/>
      </c>
      <c r="N100" t="str">
        <f>IF(COUNTIF('outliers per techniques &amp; human'!M$3:M$200,'outliers per techniques &amp; human'!V101),'outliers per techniques &amp; human'!V101,"")</f>
        <v>tafta</v>
      </c>
      <c r="O100" t="str">
        <f>IF(COUNTIF('outliers per techniques &amp; human'!N$3:N$25,'outliers per techniques &amp; human'!V101),'outliers per techniques &amp; human'!V101,"")</f>
        <v/>
      </c>
      <c r="P100" t="str">
        <f>IF(COUNTIF('outliers per techniques &amp; human'!O$3:O$368,'outliers per techniques &amp; human'!V101),'outliers per techniques &amp; human'!V101,"")</f>
        <v/>
      </c>
    </row>
    <row r="101" spans="2:16" x14ac:dyDescent="0.25">
      <c r="B101" s="4" t="str">
        <f>IF(COUNTIF('outliers per techniques &amp; human'!A$3:A$28,'outliers per techniques &amp; human'!$V102),'outliers per techniques &amp; human'!$V102,"")</f>
        <v/>
      </c>
      <c r="C101" t="str">
        <f>IF(COUNTIF('outliers per techniques &amp; human'!B$3:B$28,'outliers per techniques &amp; human'!V102),'outliers per techniques &amp; human'!V102,"")</f>
        <v/>
      </c>
      <c r="D101" t="str">
        <f>IF(COUNTIF('outliers per techniques &amp; human'!C$3:C$38,'outliers per techniques &amp; human'!V102),'outliers per techniques &amp; human'!V102,"")</f>
        <v/>
      </c>
      <c r="E101" t="str">
        <f>IF(COUNTIF('outliers per techniques &amp; human'!D$3:D$38,'outliers per techniques &amp; human'!V102),'outliers per techniques &amp; human'!V102,"")</f>
        <v/>
      </c>
      <c r="F101" t="str">
        <f>IF(COUNTIF('outliers per techniques &amp; human'!E$3:E$24,'outliers per techniques &amp; human'!V102),'outliers per techniques &amp; human'!V102,"")</f>
        <v/>
      </c>
      <c r="G101" t="str">
        <f>IF(COUNTIF('outliers per techniques &amp; human'!F$3:F$24,'outliers per techniques &amp; human'!V102),'outliers per techniques &amp; human'!V102,"")</f>
        <v/>
      </c>
      <c r="H101" t="str">
        <f>IF(COUNTIF('outliers per techniques &amp; human'!G$3:G$42,'outliers per techniques &amp; human'!V102),'outliers per techniques &amp; human'!V102,"")</f>
        <v/>
      </c>
      <c r="I101" t="str">
        <f>IF(COUNTIF('outliers per techniques &amp; human'!H$3:H$42,'outliers per techniques &amp; human'!V102),'outliers per techniques &amp; human'!V102,"")</f>
        <v/>
      </c>
      <c r="J101" t="str">
        <f>IF(COUNTIF('outliers per techniques &amp; human'!I$3:I$21,'outliers per techniques &amp; human'!V102),'outliers per techniques &amp; human'!V102,"")</f>
        <v/>
      </c>
      <c r="K101" t="str">
        <f>IF(COUNTIF('outliers per techniques &amp; human'!J$3:J$47,'outliers per techniques &amp; human'!V102),'outliers per techniques &amp; human'!V102,"")</f>
        <v/>
      </c>
      <c r="L101" t="str">
        <f>IF(COUNTIF('outliers per techniques &amp; human'!K$3:K$78,'outliers per techniques &amp; human'!V102),'outliers per techniques &amp; human'!V102,"")</f>
        <v/>
      </c>
      <c r="M101" t="str">
        <f>IF(COUNTIF('outliers per techniques &amp; human'!L$3:L$17,'outliers per techniques &amp; human'!V102),'outliers per techniques &amp; human'!V102,"")</f>
        <v/>
      </c>
      <c r="N101" t="str">
        <f>IF(COUNTIF('outliers per techniques &amp; human'!M$3:M$200,'outliers per techniques &amp; human'!V102),'outliers per techniques &amp; human'!V102,"")</f>
        <v/>
      </c>
      <c r="O101" t="str">
        <f>IF(COUNTIF('outliers per techniques &amp; human'!N$3:N$25,'outliers per techniques &amp; human'!V102),'outliers per techniques &amp; human'!V102,"")</f>
        <v/>
      </c>
      <c r="P101" t="str">
        <f>IF(COUNTIF('outliers per techniques &amp; human'!O$3:O$368,'outliers per techniques &amp; human'!V102),'outliers per techniques &amp; human'!V102,"")</f>
        <v>arcomem</v>
      </c>
    </row>
    <row r="102" spans="2:16" x14ac:dyDescent="0.25">
      <c r="B102" s="4" t="str">
        <f>IF(COUNTIF('outliers per techniques &amp; human'!A$3:A$28,'outliers per techniques &amp; human'!$V103),'outliers per techniques &amp; human'!$V103,"")</f>
        <v/>
      </c>
      <c r="C102" t="str">
        <f>IF(COUNTIF('outliers per techniques &amp; human'!B$3:B$28,'outliers per techniques &amp; human'!V103),'outliers per techniques &amp; human'!V103,"")</f>
        <v/>
      </c>
      <c r="D102" t="str">
        <f>IF(COUNTIF('outliers per techniques &amp; human'!C$3:C$38,'outliers per techniques &amp; human'!V103),'outliers per techniques &amp; human'!V103,"")</f>
        <v/>
      </c>
      <c r="E102" t="str">
        <f>IF(COUNTIF('outliers per techniques &amp; human'!D$3:D$38,'outliers per techniques &amp; human'!V103),'outliers per techniques &amp; human'!V103,"")</f>
        <v/>
      </c>
      <c r="F102" t="str">
        <f>IF(COUNTIF('outliers per techniques &amp; human'!E$3:E$24,'outliers per techniques &amp; human'!V103),'outliers per techniques &amp; human'!V103,"")</f>
        <v/>
      </c>
      <c r="G102" t="str">
        <f>IF(COUNTIF('outliers per techniques &amp; human'!F$3:F$24,'outliers per techniques &amp; human'!V103),'outliers per techniques &amp; human'!V103,"")</f>
        <v/>
      </c>
      <c r="H102" t="str">
        <f>IF(COUNTIF('outliers per techniques &amp; human'!G$3:G$42,'outliers per techniques &amp; human'!V103),'outliers per techniques &amp; human'!V103,"")</f>
        <v/>
      </c>
      <c r="I102" t="str">
        <f>IF(COUNTIF('outliers per techniques &amp; human'!H$3:H$42,'outliers per techniques &amp; human'!V103),'outliers per techniques &amp; human'!V103,"")</f>
        <v/>
      </c>
      <c r="J102" t="str">
        <f>IF(COUNTIF('outliers per techniques &amp; human'!I$3:I$21,'outliers per techniques &amp; human'!V103),'outliers per techniques &amp; human'!V103,"")</f>
        <v/>
      </c>
      <c r="K102" t="str">
        <f>IF(COUNTIF('outliers per techniques &amp; human'!J$3:J$47,'outliers per techniques &amp; human'!V103),'outliers per techniques &amp; human'!V103,"")</f>
        <v/>
      </c>
      <c r="L102" t="str">
        <f>IF(COUNTIF('outliers per techniques &amp; human'!K$3:K$78,'outliers per techniques &amp; human'!V103),'outliers per techniques &amp; human'!V103,"")</f>
        <v/>
      </c>
      <c r="M102" t="str">
        <f>IF(COUNTIF('outliers per techniques &amp; human'!L$3:L$17,'outliers per techniques &amp; human'!V103),'outliers per techniques &amp; human'!V103,"")</f>
        <v/>
      </c>
      <c r="N102" t="str">
        <f>IF(COUNTIF('outliers per techniques &amp; human'!M$3:M$200,'outliers per techniques &amp; human'!V103),'outliers per techniques &amp; human'!V103,"")</f>
        <v>albania</v>
      </c>
      <c r="O102" t="str">
        <f>IF(COUNTIF('outliers per techniques &amp; human'!N$3:N$25,'outliers per techniques &amp; human'!V103),'outliers per techniques &amp; human'!V103,"")</f>
        <v/>
      </c>
      <c r="P102" t="str">
        <f>IF(COUNTIF('outliers per techniques &amp; human'!O$3:O$368,'outliers per techniques &amp; human'!V103),'outliers per techniques &amp; human'!V103,"")</f>
        <v/>
      </c>
    </row>
    <row r="103" spans="2:16" x14ac:dyDescent="0.25">
      <c r="B103" s="4" t="str">
        <f>IF(COUNTIF('outliers per techniques &amp; human'!A$3:A$28,'outliers per techniques &amp; human'!$V104),'outliers per techniques &amp; human'!$V104,"")</f>
        <v/>
      </c>
      <c r="C103" t="str">
        <f>IF(COUNTIF('outliers per techniques &amp; human'!B$3:B$28,'outliers per techniques &amp; human'!V104),'outliers per techniques &amp; human'!V104,"")</f>
        <v/>
      </c>
      <c r="D103" t="str">
        <f>IF(COUNTIF('outliers per techniques &amp; human'!C$3:C$38,'outliers per techniques &amp; human'!V104),'outliers per techniques &amp; human'!V104,"")</f>
        <v/>
      </c>
      <c r="E103" t="str">
        <f>IF(COUNTIF('outliers per techniques &amp; human'!D$3:D$38,'outliers per techniques &amp; human'!V104),'outliers per techniques &amp; human'!V104,"")</f>
        <v/>
      </c>
      <c r="F103" t="str">
        <f>IF(COUNTIF('outliers per techniques &amp; human'!E$3:E$24,'outliers per techniques &amp; human'!V104),'outliers per techniques &amp; human'!V104,"")</f>
        <v/>
      </c>
      <c r="G103" t="str">
        <f>IF(COUNTIF('outliers per techniques &amp; human'!F$3:F$24,'outliers per techniques &amp; human'!V104),'outliers per techniques &amp; human'!V104,"")</f>
        <v/>
      </c>
      <c r="H103" t="str">
        <f>IF(COUNTIF('outliers per techniques &amp; human'!G$3:G$42,'outliers per techniques &amp; human'!V104),'outliers per techniques &amp; human'!V104,"")</f>
        <v/>
      </c>
      <c r="I103" t="str">
        <f>IF(COUNTIF('outliers per techniques &amp; human'!H$3:H$42,'outliers per techniques &amp; human'!V104),'outliers per techniques &amp; human'!V104,"")</f>
        <v/>
      </c>
      <c r="J103" t="str">
        <f>IF(COUNTIF('outliers per techniques &amp; human'!I$3:I$21,'outliers per techniques &amp; human'!V104),'outliers per techniques &amp; human'!V104,"")</f>
        <v/>
      </c>
      <c r="K103" t="str">
        <f>IF(COUNTIF('outliers per techniques &amp; human'!J$3:J$47,'outliers per techniques &amp; human'!V104),'outliers per techniques &amp; human'!V104,"")</f>
        <v/>
      </c>
      <c r="L103" t="str">
        <f>IF(COUNTIF('outliers per techniques &amp; human'!K$3:K$78,'outliers per techniques &amp; human'!V104),'outliers per techniques &amp; human'!V104,"")</f>
        <v/>
      </c>
      <c r="M103" t="str">
        <f>IF(COUNTIF('outliers per techniques &amp; human'!L$3:L$17,'outliers per techniques &amp; human'!V104),'outliers per techniques &amp; human'!V104,"")</f>
        <v/>
      </c>
      <c r="N103" t="str">
        <f>IF(COUNTIF('outliers per techniques &amp; human'!M$3:M$200,'outliers per techniques &amp; human'!V104),'outliers per techniques &amp; human'!V104,"")</f>
        <v/>
      </c>
      <c r="O103" t="str">
        <f>IF(COUNTIF('outliers per techniques &amp; human'!N$3:N$25,'outliers per techniques &amp; human'!V104),'outliers per techniques &amp; human'!V104,"")</f>
        <v/>
      </c>
      <c r="P103" t="str">
        <f>IF(COUNTIF('outliers per techniques &amp; human'!O$3:O$368,'outliers per techniques &amp; human'!V104),'outliers per techniques &amp; human'!V104,"")</f>
        <v>kredit</v>
      </c>
    </row>
    <row r="104" spans="2:16" x14ac:dyDescent="0.25">
      <c r="B104" s="4" t="str">
        <f>IF(COUNTIF('outliers per techniques &amp; human'!A$3:A$28,'outliers per techniques &amp; human'!$V105),'outliers per techniques &amp; human'!$V105,"")</f>
        <v/>
      </c>
      <c r="C104" t="str">
        <f>IF(COUNTIF('outliers per techniques &amp; human'!B$3:B$28,'outliers per techniques &amp; human'!V105),'outliers per techniques &amp; human'!V105,"")</f>
        <v/>
      </c>
      <c r="D104" t="str">
        <f>IF(COUNTIF('outliers per techniques &amp; human'!C$3:C$38,'outliers per techniques &amp; human'!V105),'outliers per techniques &amp; human'!V105,"")</f>
        <v/>
      </c>
      <c r="E104" t="str">
        <f>IF(COUNTIF('outliers per techniques &amp; human'!D$3:D$38,'outliers per techniques &amp; human'!V105),'outliers per techniques &amp; human'!V105,"")</f>
        <v/>
      </c>
      <c r="F104" t="str">
        <f>IF(COUNTIF('outliers per techniques &amp; human'!E$3:E$24,'outliers per techniques &amp; human'!V105),'outliers per techniques &amp; human'!V105,"")</f>
        <v/>
      </c>
      <c r="G104" t="str">
        <f>IF(COUNTIF('outliers per techniques &amp; human'!F$3:F$24,'outliers per techniques &amp; human'!V105),'outliers per techniques &amp; human'!V105,"")</f>
        <v/>
      </c>
      <c r="H104" t="str">
        <f>IF(COUNTIF('outliers per techniques &amp; human'!G$3:G$42,'outliers per techniques &amp; human'!V105),'outliers per techniques &amp; human'!V105,"")</f>
        <v/>
      </c>
      <c r="I104" t="str">
        <f>IF(COUNTIF('outliers per techniques &amp; human'!H$3:H$42,'outliers per techniques &amp; human'!V105),'outliers per techniques &amp; human'!V105,"")</f>
        <v/>
      </c>
      <c r="J104" t="str">
        <f>IF(COUNTIF('outliers per techniques &amp; human'!I$3:I$21,'outliers per techniques &amp; human'!V105),'outliers per techniques &amp; human'!V105,"")</f>
        <v/>
      </c>
      <c r="K104" t="str">
        <f>IF(COUNTIF('outliers per techniques &amp; human'!J$3:J$47,'outliers per techniques &amp; human'!V105),'outliers per techniques &amp; human'!V105,"")</f>
        <v/>
      </c>
      <c r="L104" t="str">
        <f>IF(COUNTIF('outliers per techniques &amp; human'!K$3:K$78,'outliers per techniques &amp; human'!V105),'outliers per techniques &amp; human'!V105,"")</f>
        <v/>
      </c>
      <c r="M104" t="str">
        <f>IF(COUNTIF('outliers per techniques &amp; human'!L$3:L$17,'outliers per techniques &amp; human'!V105),'outliers per techniques &amp; human'!V105,"")</f>
        <v/>
      </c>
      <c r="N104" t="str">
        <f>IF(COUNTIF('outliers per techniques &amp; human'!M$3:M$200,'outliers per techniques &amp; human'!V105),'outliers per techniques &amp; human'!V105,"")</f>
        <v>netbib</v>
      </c>
      <c r="O104" t="str">
        <f>IF(COUNTIF('outliers per techniques &amp; human'!N$3:N$25,'outliers per techniques &amp; human'!V105),'outliers per techniques &amp; human'!V105,"")</f>
        <v/>
      </c>
      <c r="P104" t="str">
        <f>IF(COUNTIF('outliers per techniques &amp; human'!O$3:O$368,'outliers per techniques &amp; human'!V105),'outliers per techniques &amp; human'!V105,"")</f>
        <v/>
      </c>
    </row>
    <row r="105" spans="2:16" x14ac:dyDescent="0.25">
      <c r="B105" s="4" t="str">
        <f>IF(COUNTIF('outliers per techniques &amp; human'!A$3:A$28,'outliers per techniques &amp; human'!$V106),'outliers per techniques &amp; human'!$V106,"")</f>
        <v/>
      </c>
      <c r="C105" t="str">
        <f>IF(COUNTIF('outliers per techniques &amp; human'!B$3:B$28,'outliers per techniques &amp; human'!V106),'outliers per techniques &amp; human'!V106,"")</f>
        <v/>
      </c>
      <c r="D105" t="str">
        <f>IF(COUNTIF('outliers per techniques &amp; human'!C$3:C$38,'outliers per techniques &amp; human'!V106),'outliers per techniques &amp; human'!V106,"")</f>
        <v/>
      </c>
      <c r="E105" t="str">
        <f>IF(COUNTIF('outliers per techniques &amp; human'!D$3:D$38,'outliers per techniques &amp; human'!V106),'outliers per techniques &amp; human'!V106,"")</f>
        <v/>
      </c>
      <c r="F105" t="str">
        <f>IF(COUNTIF('outliers per techniques &amp; human'!E$3:E$24,'outliers per techniques &amp; human'!V106),'outliers per techniques &amp; human'!V106,"")</f>
        <v/>
      </c>
      <c r="G105" t="str">
        <f>IF(COUNTIF('outliers per techniques &amp; human'!F$3:F$24,'outliers per techniques &amp; human'!V106),'outliers per techniques &amp; human'!V106,"")</f>
        <v/>
      </c>
      <c r="H105" t="str">
        <f>IF(COUNTIF('outliers per techniques &amp; human'!G$3:G$42,'outliers per techniques &amp; human'!V106),'outliers per techniques &amp; human'!V106,"")</f>
        <v/>
      </c>
      <c r="I105" t="str">
        <f>IF(COUNTIF('outliers per techniques &amp; human'!H$3:H$42,'outliers per techniques &amp; human'!V106),'outliers per techniques &amp; human'!V106,"")</f>
        <v/>
      </c>
      <c r="J105" t="str">
        <f>IF(COUNTIF('outliers per techniques &amp; human'!I$3:I$21,'outliers per techniques &amp; human'!V106),'outliers per techniques &amp; human'!V106,"")</f>
        <v/>
      </c>
      <c r="K105" t="str">
        <f>IF(COUNTIF('outliers per techniques &amp; human'!J$3:J$47,'outliers per techniques &amp; human'!V106),'outliers per techniques &amp; human'!V106,"")</f>
        <v/>
      </c>
      <c r="L105" t="str">
        <f>IF(COUNTIF('outliers per techniques &amp; human'!K$3:K$78,'outliers per techniques &amp; human'!V106),'outliers per techniques &amp; human'!V106,"")</f>
        <v/>
      </c>
      <c r="M105" t="str">
        <f>IF(COUNTIF('outliers per techniques &amp; human'!L$3:L$17,'outliers per techniques &amp; human'!V106),'outliers per techniques &amp; human'!V106,"")</f>
        <v/>
      </c>
      <c r="N105" t="str">
        <f>IF(COUNTIF('outliers per techniques &amp; human'!M$3:M$200,'outliers per techniques &amp; human'!V106),'outliers per techniques &amp; human'!V106,"")</f>
        <v>tisa</v>
      </c>
      <c r="O105" t="str">
        <f>IF(COUNTIF('outliers per techniques &amp; human'!N$3:N$25,'outliers per techniques &amp; human'!V106),'outliers per techniques &amp; human'!V106,"")</f>
        <v/>
      </c>
      <c r="P105" t="str">
        <f>IF(COUNTIF('outliers per techniques &amp; human'!O$3:O$368,'outliers per techniques &amp; human'!V106),'outliers per techniques &amp; human'!V106,"")</f>
        <v/>
      </c>
    </row>
    <row r="106" spans="2:16" x14ac:dyDescent="0.25">
      <c r="B106" s="4" t="str">
        <f>IF(COUNTIF('outliers per techniques &amp; human'!A$3:A$28,'outliers per techniques &amp; human'!$V107),'outliers per techniques &amp; human'!$V107,"")</f>
        <v/>
      </c>
      <c r="C106" t="str">
        <f>IF(COUNTIF('outliers per techniques &amp; human'!B$3:B$28,'outliers per techniques &amp; human'!V107),'outliers per techniques &amp; human'!V107,"")</f>
        <v/>
      </c>
      <c r="D106" t="str">
        <f>IF(COUNTIF('outliers per techniques &amp; human'!C$3:C$38,'outliers per techniques &amp; human'!V107),'outliers per techniques &amp; human'!V107,"")</f>
        <v/>
      </c>
      <c r="E106" t="str">
        <f>IF(COUNTIF('outliers per techniques &amp; human'!D$3:D$38,'outliers per techniques &amp; human'!V107),'outliers per techniques &amp; human'!V107,"")</f>
        <v/>
      </c>
      <c r="F106" t="str">
        <f>IF(COUNTIF('outliers per techniques &amp; human'!E$3:E$24,'outliers per techniques &amp; human'!V107),'outliers per techniques &amp; human'!V107,"")</f>
        <v/>
      </c>
      <c r="G106" t="str">
        <f>IF(COUNTIF('outliers per techniques &amp; human'!F$3:F$24,'outliers per techniques &amp; human'!V107),'outliers per techniques &amp; human'!V107,"")</f>
        <v/>
      </c>
      <c r="H106" t="str">
        <f>IF(COUNTIF('outliers per techniques &amp; human'!G$3:G$42,'outliers per techniques &amp; human'!V107),'outliers per techniques &amp; human'!V107,"")</f>
        <v/>
      </c>
      <c r="I106" t="str">
        <f>IF(COUNTIF('outliers per techniques &amp; human'!H$3:H$42,'outliers per techniques &amp; human'!V107),'outliers per techniques &amp; human'!V107,"")</f>
        <v/>
      </c>
      <c r="J106" t="str">
        <f>IF(COUNTIF('outliers per techniques &amp; human'!I$3:I$21,'outliers per techniques &amp; human'!V107),'outliers per techniques &amp; human'!V107,"")</f>
        <v/>
      </c>
      <c r="K106" t="str">
        <f>IF(COUNTIF('outliers per techniques &amp; human'!J$3:J$47,'outliers per techniques &amp; human'!V107),'outliers per techniques &amp; human'!V107,"")</f>
        <v/>
      </c>
      <c r="L106" t="str">
        <f>IF(COUNTIF('outliers per techniques &amp; human'!K$3:K$78,'outliers per techniques &amp; human'!V107),'outliers per techniques &amp; human'!V107,"")</f>
        <v/>
      </c>
      <c r="M106" t="str">
        <f>IF(COUNTIF('outliers per techniques &amp; human'!L$3:L$17,'outliers per techniques &amp; human'!V107),'outliers per techniques &amp; human'!V107,"")</f>
        <v>stereotyp</v>
      </c>
      <c r="N106" t="str">
        <f>IF(COUNTIF('outliers per techniques &amp; human'!M$3:M$200,'outliers per techniques &amp; human'!V107),'outliers per techniques &amp; human'!V107,"")</f>
        <v>stereotyp</v>
      </c>
      <c r="O106" t="str">
        <f>IF(COUNTIF('outliers per techniques &amp; human'!N$3:N$25,'outliers per techniques &amp; human'!V107),'outliers per techniques &amp; human'!V107,"")</f>
        <v/>
      </c>
      <c r="P106" t="str">
        <f>IF(COUNTIF('outliers per techniques &amp; human'!O$3:O$368,'outliers per techniques &amp; human'!V107),'outliers per techniques &amp; human'!V107,"")</f>
        <v>stereotyp</v>
      </c>
    </row>
    <row r="107" spans="2:16" x14ac:dyDescent="0.25">
      <c r="B107" s="4" t="str">
        <f>IF(COUNTIF('outliers per techniques &amp; human'!A$3:A$28,'outliers per techniques &amp; human'!$V108),'outliers per techniques &amp; human'!$V108,"")</f>
        <v/>
      </c>
      <c r="C107" t="str">
        <f>IF(COUNTIF('outliers per techniques &amp; human'!B$3:B$28,'outliers per techniques &amp; human'!V108),'outliers per techniques &amp; human'!V108,"")</f>
        <v/>
      </c>
      <c r="D107" t="str">
        <f>IF(COUNTIF('outliers per techniques &amp; human'!C$3:C$38,'outliers per techniques &amp; human'!V108),'outliers per techniques &amp; human'!V108,"")</f>
        <v/>
      </c>
      <c r="E107" t="str">
        <f>IF(COUNTIF('outliers per techniques &amp; human'!D$3:D$38,'outliers per techniques &amp; human'!V108),'outliers per techniques &amp; human'!V108,"")</f>
        <v/>
      </c>
      <c r="F107" t="str">
        <f>IF(COUNTIF('outliers per techniques &amp; human'!E$3:E$24,'outliers per techniques &amp; human'!V108),'outliers per techniques &amp; human'!V108,"")</f>
        <v/>
      </c>
      <c r="G107" t="str">
        <f>IF(COUNTIF('outliers per techniques &amp; human'!F$3:F$24,'outliers per techniques &amp; human'!V108),'outliers per techniques &amp; human'!V108,"")</f>
        <v/>
      </c>
      <c r="H107" t="str">
        <f>IF(COUNTIF('outliers per techniques &amp; human'!G$3:G$42,'outliers per techniques &amp; human'!V108),'outliers per techniques &amp; human'!V108,"")</f>
        <v/>
      </c>
      <c r="I107" t="str">
        <f>IF(COUNTIF('outliers per techniques &amp; human'!H$3:H$42,'outliers per techniques &amp; human'!V108),'outliers per techniques &amp; human'!V108,"")</f>
        <v/>
      </c>
      <c r="J107" t="str">
        <f>IF(COUNTIF('outliers per techniques &amp; human'!I$3:I$21,'outliers per techniques &amp; human'!V108),'outliers per techniques &amp; human'!V108,"")</f>
        <v/>
      </c>
      <c r="K107" t="str">
        <f>IF(COUNTIF('outliers per techniques &amp; human'!J$3:J$47,'outliers per techniques &amp; human'!V108),'outliers per techniques &amp; human'!V108,"")</f>
        <v/>
      </c>
      <c r="L107" t="str">
        <f>IF(COUNTIF('outliers per techniques &amp; human'!K$3:K$78,'outliers per techniques &amp; human'!V108),'outliers per techniques &amp; human'!V108,"")</f>
        <v/>
      </c>
      <c r="M107" t="str">
        <f>IF(COUNTIF('outliers per techniques &amp; human'!L$3:L$17,'outliers per techniques &amp; human'!V108),'outliers per techniques &amp; human'!V108,"")</f>
        <v/>
      </c>
      <c r="N107" t="str">
        <f>IF(COUNTIF('outliers per techniques &amp; human'!M$3:M$200,'outliers per techniques &amp; human'!V108),'outliers per techniques &amp; human'!V108,"")</f>
        <v/>
      </c>
      <c r="O107" t="str">
        <f>IF(COUNTIF('outliers per techniques &amp; human'!N$3:N$25,'outliers per techniques &amp; human'!V108),'outliers per techniques &amp; human'!V108,"")</f>
        <v>maria</v>
      </c>
      <c r="P107" t="str">
        <f>IF(COUNTIF('outliers per techniques &amp; human'!O$3:O$368,'outliers per techniques &amp; human'!V108),'outliers per techniques &amp; human'!V108,"")</f>
        <v>maria</v>
      </c>
    </row>
    <row r="108" spans="2:16" x14ac:dyDescent="0.25">
      <c r="B108" s="4" t="str">
        <f>IF(COUNTIF('outliers per techniques &amp; human'!A$3:A$28,'outliers per techniques &amp; human'!$V109),'outliers per techniques &amp; human'!$V109,"")</f>
        <v/>
      </c>
      <c r="C108" t="str">
        <f>IF(COUNTIF('outliers per techniques &amp; human'!B$3:B$28,'outliers per techniques &amp; human'!V109),'outliers per techniques &amp; human'!V109,"")</f>
        <v/>
      </c>
      <c r="D108" t="str">
        <f>IF(COUNTIF('outliers per techniques &amp; human'!C$3:C$38,'outliers per techniques &amp; human'!V109),'outliers per techniques &amp; human'!V109,"")</f>
        <v/>
      </c>
      <c r="E108" t="str">
        <f>IF(COUNTIF('outliers per techniques &amp; human'!D$3:D$38,'outliers per techniques &amp; human'!V109),'outliers per techniques &amp; human'!V109,"")</f>
        <v/>
      </c>
      <c r="F108" t="str">
        <f>IF(COUNTIF('outliers per techniques &amp; human'!E$3:E$24,'outliers per techniques &amp; human'!V109),'outliers per techniques &amp; human'!V109,"")</f>
        <v/>
      </c>
      <c r="G108" t="str">
        <f>IF(COUNTIF('outliers per techniques &amp; human'!F$3:F$24,'outliers per techniques &amp; human'!V109),'outliers per techniques &amp; human'!V109,"")</f>
        <v/>
      </c>
      <c r="H108" t="str">
        <f>IF(COUNTIF('outliers per techniques &amp; human'!G$3:G$42,'outliers per techniques &amp; human'!V109),'outliers per techniques &amp; human'!V109,"")</f>
        <v/>
      </c>
      <c r="I108" t="str">
        <f>IF(COUNTIF('outliers per techniques &amp; human'!H$3:H$42,'outliers per techniques &amp; human'!V109),'outliers per techniques &amp; human'!V109,"")</f>
        <v/>
      </c>
      <c r="J108" t="str">
        <f>IF(COUNTIF('outliers per techniques &amp; human'!I$3:I$21,'outliers per techniques &amp; human'!V109),'outliers per techniques &amp; human'!V109,"")</f>
        <v/>
      </c>
      <c r="K108" t="str">
        <f>IF(COUNTIF('outliers per techniques &amp; human'!J$3:J$47,'outliers per techniques &amp; human'!V109),'outliers per techniques &amp; human'!V109,"")</f>
        <v/>
      </c>
      <c r="L108" t="str">
        <f>IF(COUNTIF('outliers per techniques &amp; human'!K$3:K$78,'outliers per techniques &amp; human'!V109),'outliers per techniques &amp; human'!V109,"")</f>
        <v/>
      </c>
      <c r="M108" t="str">
        <f>IF(COUNTIF('outliers per techniques &amp; human'!L$3:L$17,'outliers per techniques &amp; human'!V109),'outliers per techniques &amp; human'!V109,"")</f>
        <v/>
      </c>
      <c r="N108" t="str">
        <f>IF(COUNTIF('outliers per techniques &amp; human'!M$3:M$200,'outliers per techniques &amp; human'!V109),'outliers per techniques &amp; human'!V109,"")</f>
        <v>semiotik</v>
      </c>
      <c r="O108" t="str">
        <f>IF(COUNTIF('outliers per techniques &amp; human'!N$3:N$25,'outliers per techniques &amp; human'!V109),'outliers per techniques &amp; human'!V109,"")</f>
        <v/>
      </c>
      <c r="P108" t="str">
        <f>IF(COUNTIF('outliers per techniques &amp; human'!O$3:O$368,'outliers per techniques &amp; human'!V109),'outliers per techniques &amp; human'!V109,"")</f>
        <v/>
      </c>
    </row>
    <row r="109" spans="2:16" x14ac:dyDescent="0.25">
      <c r="B109" s="4" t="str">
        <f>IF(COUNTIF('outliers per techniques &amp; human'!A$3:A$28,'outliers per techniques &amp; human'!$V110),'outliers per techniques &amp; human'!$V110,"")</f>
        <v/>
      </c>
      <c r="C109" t="str">
        <f>IF(COUNTIF('outliers per techniques &amp; human'!B$3:B$28,'outliers per techniques &amp; human'!V110),'outliers per techniques &amp; human'!V110,"")</f>
        <v/>
      </c>
      <c r="D109" t="str">
        <f>IF(COUNTIF('outliers per techniques &amp; human'!C$3:C$38,'outliers per techniques &amp; human'!V110),'outliers per techniques &amp; human'!V110,"")</f>
        <v/>
      </c>
      <c r="E109" t="str">
        <f>IF(COUNTIF('outliers per techniques &amp; human'!D$3:D$38,'outliers per techniques &amp; human'!V110),'outliers per techniques &amp; human'!V110,"")</f>
        <v/>
      </c>
      <c r="F109" t="str">
        <f>IF(COUNTIF('outliers per techniques &amp; human'!E$3:E$24,'outliers per techniques &amp; human'!V110),'outliers per techniques &amp; human'!V110,"")</f>
        <v/>
      </c>
      <c r="G109" t="str">
        <f>IF(COUNTIF('outliers per techniques &amp; human'!F$3:F$24,'outliers per techniques &amp; human'!V110),'outliers per techniques &amp; human'!V110,"")</f>
        <v/>
      </c>
      <c r="H109" t="str">
        <f>IF(COUNTIF('outliers per techniques &amp; human'!G$3:G$42,'outliers per techniques &amp; human'!V110),'outliers per techniques &amp; human'!V110,"")</f>
        <v/>
      </c>
      <c r="I109" t="str">
        <f>IF(COUNTIF('outliers per techniques &amp; human'!H$3:H$42,'outliers per techniques &amp; human'!V110),'outliers per techniques &amp; human'!V110,"")</f>
        <v/>
      </c>
      <c r="J109" t="str">
        <f>IF(COUNTIF('outliers per techniques &amp; human'!I$3:I$21,'outliers per techniques &amp; human'!V110),'outliers per techniques &amp; human'!V110,"")</f>
        <v/>
      </c>
      <c r="K109" t="str">
        <f>IF(COUNTIF('outliers per techniques &amp; human'!J$3:J$47,'outliers per techniques &amp; human'!V110),'outliers per techniques &amp; human'!V110,"")</f>
        <v>cites.gradu</v>
      </c>
      <c r="L109" t="str">
        <f>IF(COUNTIF('outliers per techniques &amp; human'!K$3:K$78,'outliers per techniques &amp; human'!V110),'outliers per techniques &amp; human'!V110,"")</f>
        <v/>
      </c>
      <c r="M109" t="str">
        <f>IF(COUNTIF('outliers per techniques &amp; human'!L$3:L$17,'outliers per techniques &amp; human'!V110),'outliers per techniques &amp; human'!V110,"")</f>
        <v/>
      </c>
      <c r="N109" t="str">
        <f>IF(COUNTIF('outliers per techniques &amp; human'!M$3:M$200,'outliers per techniques &amp; human'!V110),'outliers per techniques &amp; human'!V110,"")</f>
        <v/>
      </c>
      <c r="O109" t="str">
        <f>IF(COUNTIF('outliers per techniques &amp; human'!N$3:N$25,'outliers per techniques &amp; human'!V110),'outliers per techniques &amp; human'!V110,"")</f>
        <v/>
      </c>
      <c r="P109" t="str">
        <f>IF(COUNTIF('outliers per techniques &amp; human'!O$3:O$368,'outliers per techniques &amp; human'!V110),'outliers per techniques &amp; human'!V110,"")</f>
        <v/>
      </c>
    </row>
    <row r="110" spans="2:16" x14ac:dyDescent="0.25">
      <c r="B110" s="4" t="str">
        <f>IF(COUNTIF('outliers per techniques &amp; human'!A$3:A$28,'outliers per techniques &amp; human'!$V111),'outliers per techniques &amp; human'!$V111,"")</f>
        <v/>
      </c>
      <c r="C110" t="str">
        <f>IF(COUNTIF('outliers per techniques &amp; human'!B$3:B$28,'outliers per techniques &amp; human'!V111),'outliers per techniques &amp; human'!V111,"")</f>
        <v/>
      </c>
      <c r="D110" t="str">
        <f>IF(COUNTIF('outliers per techniques &amp; human'!C$3:C$38,'outliers per techniques &amp; human'!V111),'outliers per techniques &amp; human'!V111,"")</f>
        <v/>
      </c>
      <c r="E110" t="str">
        <f>IF(COUNTIF('outliers per techniques &amp; human'!D$3:D$38,'outliers per techniques &amp; human'!V111),'outliers per techniques &amp; human'!V111,"")</f>
        <v/>
      </c>
      <c r="F110" t="str">
        <f>IF(COUNTIF('outliers per techniques &amp; human'!E$3:E$24,'outliers per techniques &amp; human'!V111),'outliers per techniques &amp; human'!V111,"")</f>
        <v/>
      </c>
      <c r="G110" t="str">
        <f>IF(COUNTIF('outliers per techniques &amp; human'!F$3:F$24,'outliers per techniques &amp; human'!V111),'outliers per techniques &amp; human'!V111,"")</f>
        <v/>
      </c>
      <c r="H110" t="str">
        <f>IF(COUNTIF('outliers per techniques &amp; human'!G$3:G$42,'outliers per techniques &amp; human'!V111),'outliers per techniques &amp; human'!V111,"")</f>
        <v/>
      </c>
      <c r="I110" t="str">
        <f>IF(COUNTIF('outliers per techniques &amp; human'!H$3:H$42,'outliers per techniques &amp; human'!V111),'outliers per techniques &amp; human'!V111,"")</f>
        <v/>
      </c>
      <c r="J110" t="str">
        <f>IF(COUNTIF('outliers per techniques &amp; human'!I$3:I$21,'outliers per techniques &amp; human'!V111),'outliers per techniques &amp; human'!V111,"")</f>
        <v/>
      </c>
      <c r="K110" t="str">
        <f>IF(COUNTIF('outliers per techniques &amp; human'!J$3:J$47,'outliers per techniques &amp; human'!V111),'outliers per techniques &amp; human'!V111,"")</f>
        <v/>
      </c>
      <c r="L110" t="str">
        <f>IF(COUNTIF('outliers per techniques &amp; human'!K$3:K$78,'outliers per techniques &amp; human'!V111),'outliers per techniques &amp; human'!V111,"")</f>
        <v/>
      </c>
      <c r="M110" t="str">
        <f>IF(COUNTIF('outliers per techniques &amp; human'!L$3:L$17,'outliers per techniques &amp; human'!V111),'outliers per techniques &amp; human'!V111,"")</f>
        <v/>
      </c>
      <c r="N110" t="str">
        <f>IF(COUNTIF('outliers per techniques &amp; human'!M$3:M$200,'outliers per techniques &amp; human'!V111),'outliers per techniques &amp; human'!V111,"")</f>
        <v/>
      </c>
      <c r="O110" t="str">
        <f>IF(COUNTIF('outliers per techniques &amp; human'!N$3:N$25,'outliers per techniques &amp; human'!V111),'outliers per techniques &amp; human'!V111,"")</f>
        <v/>
      </c>
      <c r="P110" t="str">
        <f>IF(COUNTIF('outliers per techniques &amp; human'!O$3:O$368,'outliers per techniques &amp; human'!V111),'outliers per techniques &amp; human'!V111,"")</f>
        <v>hardt</v>
      </c>
    </row>
    <row r="111" spans="2:16" x14ac:dyDescent="0.25">
      <c r="B111" s="4" t="str">
        <f>IF(COUNTIF('outliers per techniques &amp; human'!A$3:A$28,'outliers per techniques &amp; human'!$V112),'outliers per techniques &amp; human'!$V112,"")</f>
        <v/>
      </c>
      <c r="C111" t="str">
        <f>IF(COUNTIF('outliers per techniques &amp; human'!B$3:B$28,'outliers per techniques &amp; human'!V112),'outliers per techniques &amp; human'!V112,"")</f>
        <v/>
      </c>
      <c r="D111" t="str">
        <f>IF(COUNTIF('outliers per techniques &amp; human'!C$3:C$38,'outliers per techniques &amp; human'!V112),'outliers per techniques &amp; human'!V112,"")</f>
        <v/>
      </c>
      <c r="E111" t="str">
        <f>IF(COUNTIF('outliers per techniques &amp; human'!D$3:D$38,'outliers per techniques &amp; human'!V112),'outliers per techniques &amp; human'!V112,"")</f>
        <v/>
      </c>
      <c r="F111" t="str">
        <f>IF(COUNTIF('outliers per techniques &amp; human'!E$3:E$24,'outliers per techniques &amp; human'!V112),'outliers per techniques &amp; human'!V112,"")</f>
        <v/>
      </c>
      <c r="G111" t="str">
        <f>IF(COUNTIF('outliers per techniques &amp; human'!F$3:F$24,'outliers per techniques &amp; human'!V112),'outliers per techniques &amp; human'!V112,"")</f>
        <v/>
      </c>
      <c r="H111" t="str">
        <f>IF(COUNTIF('outliers per techniques &amp; human'!G$3:G$42,'outliers per techniques &amp; human'!V112),'outliers per techniques &amp; human'!V112,"")</f>
        <v/>
      </c>
      <c r="I111" t="str">
        <f>IF(COUNTIF('outliers per techniques &amp; human'!H$3:H$42,'outliers per techniques &amp; human'!V112),'outliers per techniques &amp; human'!V112,"")</f>
        <v/>
      </c>
      <c r="J111" t="str">
        <f>IF(COUNTIF('outliers per techniques &amp; human'!I$3:I$21,'outliers per techniques &amp; human'!V112),'outliers per techniques &amp; human'!V112,"")</f>
        <v/>
      </c>
      <c r="K111" t="str">
        <f>IF(COUNTIF('outliers per techniques &amp; human'!J$3:J$47,'outliers per techniques &amp; human'!V112),'outliers per techniques &amp; human'!V112,"")</f>
        <v/>
      </c>
      <c r="L111" t="str">
        <f>IF(COUNTIF('outliers per techniques &amp; human'!K$3:K$78,'outliers per techniques &amp; human'!V112),'outliers per techniques &amp; human'!V112,"")</f>
        <v>arvuti</v>
      </c>
      <c r="M111" t="str">
        <f>IF(COUNTIF('outliers per techniques &amp; human'!L$3:L$17,'outliers per techniques &amp; human'!V112),'outliers per techniques &amp; human'!V112,"")</f>
        <v/>
      </c>
      <c r="N111" t="str">
        <f>IF(COUNTIF('outliers per techniques &amp; human'!M$3:M$200,'outliers per techniques &amp; human'!V112),'outliers per techniques &amp; human'!V112,"")</f>
        <v/>
      </c>
      <c r="O111" t="str">
        <f>IF(COUNTIF('outliers per techniques &amp; human'!N$3:N$25,'outliers per techniques &amp; human'!V112),'outliers per techniques &amp; human'!V112,"")</f>
        <v/>
      </c>
      <c r="P111" t="str">
        <f>IF(COUNTIF('outliers per techniques &amp; human'!O$3:O$368,'outliers per techniques &amp; human'!V112),'outliers per techniques &amp; human'!V112,"")</f>
        <v/>
      </c>
    </row>
    <row r="112" spans="2:16" x14ac:dyDescent="0.25">
      <c r="B112" s="4" t="str">
        <f>IF(COUNTIF('outliers per techniques &amp; human'!A$3:A$28,'outliers per techniques &amp; human'!$V113),'outliers per techniques &amp; human'!$V113,"")</f>
        <v/>
      </c>
      <c r="C112" t="str">
        <f>IF(COUNTIF('outliers per techniques &amp; human'!B$3:B$28,'outliers per techniques &amp; human'!V113),'outliers per techniques &amp; human'!V113,"")</f>
        <v/>
      </c>
      <c r="D112" t="str">
        <f>IF(COUNTIF('outliers per techniques &amp; human'!C$3:C$38,'outliers per techniques &amp; human'!V113),'outliers per techniques &amp; human'!V113,"")</f>
        <v/>
      </c>
      <c r="E112" t="str">
        <f>IF(COUNTIF('outliers per techniques &amp; human'!D$3:D$38,'outliers per techniques &amp; human'!V113),'outliers per techniques &amp; human'!V113,"")</f>
        <v/>
      </c>
      <c r="F112" t="str">
        <f>IF(COUNTIF('outliers per techniques &amp; human'!E$3:E$24,'outliers per techniques &amp; human'!V113),'outliers per techniques &amp; human'!V113,"")</f>
        <v/>
      </c>
      <c r="G112" t="str">
        <f>IF(COUNTIF('outliers per techniques &amp; human'!F$3:F$24,'outliers per techniques &amp; human'!V113),'outliers per techniques &amp; human'!V113,"")</f>
        <v/>
      </c>
      <c r="H112" t="str">
        <f>IF(COUNTIF('outliers per techniques &amp; human'!G$3:G$42,'outliers per techniques &amp; human'!V113),'outliers per techniques &amp; human'!V113,"")</f>
        <v/>
      </c>
      <c r="I112" t="str">
        <f>IF(COUNTIF('outliers per techniques &amp; human'!H$3:H$42,'outliers per techniques &amp; human'!V113),'outliers per techniques &amp; human'!V113,"")</f>
        <v/>
      </c>
      <c r="J112" t="str">
        <f>IF(COUNTIF('outliers per techniques &amp; human'!I$3:I$21,'outliers per techniques &amp; human'!V113),'outliers per techniques &amp; human'!V113,"")</f>
        <v/>
      </c>
      <c r="K112" t="str">
        <f>IF(COUNTIF('outliers per techniques &amp; human'!J$3:J$47,'outliers per techniques &amp; human'!V113),'outliers per techniques &amp; human'!V113,"")</f>
        <v/>
      </c>
      <c r="L112" t="str">
        <f>IF(COUNTIF('outliers per techniques &amp; human'!K$3:K$78,'outliers per techniques &amp; human'!V113),'outliers per techniques &amp; human'!V113,"")</f>
        <v/>
      </c>
      <c r="M112" t="str">
        <f>IF(COUNTIF('outliers per techniques &amp; human'!L$3:L$17,'outliers per techniques &amp; human'!V113),'outliers per techniques &amp; human'!V113,"")</f>
        <v/>
      </c>
      <c r="N112" t="str">
        <f>IF(COUNTIF('outliers per techniques &amp; human'!M$3:M$200,'outliers per techniques &amp; human'!V113),'outliers per techniques &amp; human'!V113,"")</f>
        <v>luhn</v>
      </c>
      <c r="O112" t="str">
        <f>IF(COUNTIF('outliers per techniques &amp; human'!N$3:N$25,'outliers per techniques &amp; human'!V113),'outliers per techniques &amp; human'!V113,"")</f>
        <v/>
      </c>
      <c r="P112" t="str">
        <f>IF(COUNTIF('outliers per techniques &amp; human'!O$3:O$368,'outliers per techniques &amp; human'!V113),'outliers per techniques &amp; human'!V113,"")</f>
        <v/>
      </c>
    </row>
    <row r="113" spans="2:16" x14ac:dyDescent="0.25">
      <c r="B113" s="4" t="str">
        <f>IF(COUNTIF('outliers per techniques &amp; human'!A$3:A$28,'outliers per techniques &amp; human'!$V114),'outliers per techniques &amp; human'!$V114,"")</f>
        <v/>
      </c>
      <c r="C113" t="str">
        <f>IF(COUNTIF('outliers per techniques &amp; human'!B$3:B$28,'outliers per techniques &amp; human'!V114),'outliers per techniques &amp; human'!V114,"")</f>
        <v/>
      </c>
      <c r="D113" t="str">
        <f>IF(COUNTIF('outliers per techniques &amp; human'!C$3:C$38,'outliers per techniques &amp; human'!V114),'outliers per techniques &amp; human'!V114,"")</f>
        <v/>
      </c>
      <c r="E113" t="str">
        <f>IF(COUNTIF('outliers per techniques &amp; human'!D$3:D$38,'outliers per techniques &amp; human'!V114),'outliers per techniques &amp; human'!V114,"")</f>
        <v/>
      </c>
      <c r="F113" t="str">
        <f>IF(COUNTIF('outliers per techniques &amp; human'!E$3:E$24,'outliers per techniques &amp; human'!V114),'outliers per techniques &amp; human'!V114,"")</f>
        <v/>
      </c>
      <c r="G113" t="str">
        <f>IF(COUNTIF('outliers per techniques &amp; human'!F$3:F$24,'outliers per techniques &amp; human'!V114),'outliers per techniques &amp; human'!V114,"")</f>
        <v/>
      </c>
      <c r="H113" t="str">
        <f>IF(COUNTIF('outliers per techniques &amp; human'!G$3:G$42,'outliers per techniques &amp; human'!V114),'outliers per techniques &amp; human'!V114,"")</f>
        <v/>
      </c>
      <c r="I113" t="str">
        <f>IF(COUNTIF('outliers per techniques &amp; human'!H$3:H$42,'outliers per techniques &amp; human'!V114),'outliers per techniques &amp; human'!V114,"")</f>
        <v/>
      </c>
      <c r="J113" t="str">
        <f>IF(COUNTIF('outliers per techniques &amp; human'!I$3:I$21,'outliers per techniques &amp; human'!V114),'outliers per techniques &amp; human'!V114,"")</f>
        <v/>
      </c>
      <c r="K113" t="str">
        <f>IF(COUNTIF('outliers per techniques &amp; human'!J$3:J$47,'outliers per techniques &amp; human'!V114),'outliers per techniques &amp; human'!V114,"")</f>
        <v/>
      </c>
      <c r="L113" t="str">
        <f>IF(COUNTIF('outliers per techniques &amp; human'!K$3:K$78,'outliers per techniques &amp; human'!V114),'outliers per techniques &amp; human'!V114,"")</f>
        <v>simpson</v>
      </c>
      <c r="M113" t="str">
        <f>IF(COUNTIF('outliers per techniques &amp; human'!L$3:L$17,'outliers per techniques &amp; human'!V114),'outliers per techniques &amp; human'!V114,"")</f>
        <v/>
      </c>
      <c r="N113" t="str">
        <f>IF(COUNTIF('outliers per techniques &amp; human'!M$3:M$200,'outliers per techniques &amp; human'!V114),'outliers per techniques &amp; human'!V114,"")</f>
        <v/>
      </c>
      <c r="O113" t="str">
        <f>IF(COUNTIF('outliers per techniques &amp; human'!N$3:N$25,'outliers per techniques &amp; human'!V114),'outliers per techniques &amp; human'!V114,"")</f>
        <v/>
      </c>
      <c r="P113" t="str">
        <f>IF(COUNTIF('outliers per techniques &amp; human'!O$3:O$368,'outliers per techniques &amp; human'!V114),'outliers per techniques &amp; human'!V114,"")</f>
        <v/>
      </c>
    </row>
    <row r="114" spans="2:16" x14ac:dyDescent="0.25">
      <c r="B114" s="4" t="str">
        <f>IF(COUNTIF('outliers per techniques &amp; human'!A$3:A$28,'outliers per techniques &amp; human'!$V115),'outliers per techniques &amp; human'!$V115,"")</f>
        <v/>
      </c>
      <c r="C114" t="str">
        <f>IF(COUNTIF('outliers per techniques &amp; human'!B$3:B$28,'outliers per techniques &amp; human'!V115),'outliers per techniques &amp; human'!V115,"")</f>
        <v/>
      </c>
      <c r="D114" t="str">
        <f>IF(COUNTIF('outliers per techniques &amp; human'!C$3:C$38,'outliers per techniques &amp; human'!V115),'outliers per techniques &amp; human'!V115,"")</f>
        <v/>
      </c>
      <c r="E114" t="str">
        <f>IF(COUNTIF('outliers per techniques &amp; human'!D$3:D$38,'outliers per techniques &amp; human'!V115),'outliers per techniques &amp; human'!V115,"")</f>
        <v/>
      </c>
      <c r="F114" t="str">
        <f>IF(COUNTIF('outliers per techniques &amp; human'!E$3:E$24,'outliers per techniques &amp; human'!V115),'outliers per techniques &amp; human'!V115,"")</f>
        <v/>
      </c>
      <c r="G114" t="str">
        <f>IF(COUNTIF('outliers per techniques &amp; human'!F$3:F$24,'outliers per techniques &amp; human'!V115),'outliers per techniques &amp; human'!V115,"")</f>
        <v/>
      </c>
      <c r="H114" t="str">
        <f>IF(COUNTIF('outliers per techniques &amp; human'!G$3:G$42,'outliers per techniques &amp; human'!V115),'outliers per techniques &amp; human'!V115,"")</f>
        <v/>
      </c>
      <c r="I114" t="str">
        <f>IF(COUNTIF('outliers per techniques &amp; human'!H$3:H$42,'outliers per techniques &amp; human'!V115),'outliers per techniques &amp; human'!V115,"")</f>
        <v>permalink</v>
      </c>
      <c r="J114" t="str">
        <f>IF(COUNTIF('outliers per techniques &amp; human'!I$3:I$21,'outliers per techniques &amp; human'!V115),'outliers per techniques &amp; human'!V115,"")</f>
        <v/>
      </c>
      <c r="K114" t="str">
        <f>IF(COUNTIF('outliers per techniques &amp; human'!J$3:J$47,'outliers per techniques &amp; human'!V115),'outliers per techniques &amp; human'!V115,"")</f>
        <v/>
      </c>
      <c r="L114" t="str">
        <f>IF(COUNTIF('outliers per techniques &amp; human'!K$3:K$78,'outliers per techniques &amp; human'!V115),'outliers per techniques &amp; human'!V115,"")</f>
        <v/>
      </c>
      <c r="M114" t="str">
        <f>IF(COUNTIF('outliers per techniques &amp; human'!L$3:L$17,'outliers per techniques &amp; human'!V115),'outliers per techniques &amp; human'!V115,"")</f>
        <v/>
      </c>
      <c r="N114" t="str">
        <f>IF(COUNTIF('outliers per techniques &amp; human'!M$3:M$200,'outliers per techniques &amp; human'!V115),'outliers per techniques &amp; human'!V115,"")</f>
        <v/>
      </c>
      <c r="O114" t="str">
        <f>IF(COUNTIF('outliers per techniques &amp; human'!N$3:N$25,'outliers per techniques &amp; human'!V115),'outliers per techniques &amp; human'!V115,"")</f>
        <v/>
      </c>
      <c r="P114" t="str">
        <f>IF(COUNTIF('outliers per techniques &amp; human'!O$3:O$368,'outliers per techniques &amp; human'!V115),'outliers per techniques &amp; human'!V115,"")</f>
        <v/>
      </c>
    </row>
    <row r="115" spans="2:16" x14ac:dyDescent="0.25">
      <c r="B115" s="4" t="str">
        <f>IF(COUNTIF('outliers per techniques &amp; human'!A$3:A$28,'outliers per techniques &amp; human'!$V116),'outliers per techniques &amp; human'!$V116,"")</f>
        <v/>
      </c>
      <c r="C115" t="str">
        <f>IF(COUNTIF('outliers per techniques &amp; human'!B$3:B$28,'outliers per techniques &amp; human'!V116),'outliers per techniques &amp; human'!V116,"")</f>
        <v>fourth</v>
      </c>
      <c r="D115" t="str">
        <f>IF(COUNTIF('outliers per techniques &amp; human'!C$3:C$38,'outliers per techniques &amp; human'!V116),'outliers per techniques &amp; human'!V116,"")</f>
        <v/>
      </c>
      <c r="E115" t="str">
        <f>IF(COUNTIF('outliers per techniques &amp; human'!D$3:D$38,'outliers per techniques &amp; human'!V116),'outliers per techniques &amp; human'!V116,"")</f>
        <v>fourth</v>
      </c>
      <c r="F115" t="str">
        <f>IF(COUNTIF('outliers per techniques &amp; human'!E$3:E$24,'outliers per techniques &amp; human'!V116),'outliers per techniques &amp; human'!V116,"")</f>
        <v/>
      </c>
      <c r="G115" t="str">
        <f>IF(COUNTIF('outliers per techniques &amp; human'!F$3:F$24,'outliers per techniques &amp; human'!V116),'outliers per techniques &amp; human'!V116,"")</f>
        <v/>
      </c>
      <c r="H115" t="str">
        <f>IF(COUNTIF('outliers per techniques &amp; human'!G$3:G$42,'outliers per techniques &amp; human'!V116),'outliers per techniques &amp; human'!V116,"")</f>
        <v/>
      </c>
      <c r="I115" t="str">
        <f>IF(COUNTIF('outliers per techniques &amp; human'!H$3:H$42,'outliers per techniques &amp; human'!V116),'outliers per techniques &amp; human'!V116,"")</f>
        <v/>
      </c>
      <c r="J115" t="str">
        <f>IF(COUNTIF('outliers per techniques &amp; human'!I$3:I$21,'outliers per techniques &amp; human'!V116),'outliers per techniques &amp; human'!V116,"")</f>
        <v/>
      </c>
      <c r="K115" t="str">
        <f>IF(COUNTIF('outliers per techniques &amp; human'!J$3:J$47,'outliers per techniques &amp; human'!V116),'outliers per techniques &amp; human'!V116,"")</f>
        <v/>
      </c>
      <c r="L115" t="str">
        <f>IF(COUNTIF('outliers per techniques &amp; human'!K$3:K$78,'outliers per techniques &amp; human'!V116),'outliers per techniques &amp; human'!V116,"")</f>
        <v/>
      </c>
      <c r="M115" t="str">
        <f>IF(COUNTIF('outliers per techniques &amp; human'!L$3:L$17,'outliers per techniques &amp; human'!V116),'outliers per techniques &amp; human'!V116,"")</f>
        <v/>
      </c>
      <c r="N115" t="str">
        <f>IF(COUNTIF('outliers per techniques &amp; human'!M$3:M$200,'outliers per techniques &amp; human'!V116),'outliers per techniques &amp; human'!V116,"")</f>
        <v/>
      </c>
      <c r="O115" t="str">
        <f>IF(COUNTIF('outliers per techniques &amp; human'!N$3:N$25,'outliers per techniques &amp; human'!V116),'outliers per techniques &amp; human'!V116,"")</f>
        <v/>
      </c>
      <c r="P115" t="str">
        <f>IF(COUNTIF('outliers per techniques &amp; human'!O$3:O$368,'outliers per techniques &amp; human'!V116),'outliers per techniques &amp; human'!V116,"")</f>
        <v/>
      </c>
    </row>
    <row r="116" spans="2:16" x14ac:dyDescent="0.25">
      <c r="B116" s="4" t="str">
        <f>IF(COUNTIF('outliers per techniques &amp; human'!A$3:A$28,'outliers per techniques &amp; human'!$V117),'outliers per techniques &amp; human'!$V117,"")</f>
        <v/>
      </c>
      <c r="C116" t="str">
        <f>IF(COUNTIF('outliers per techniques &amp; human'!B$3:B$28,'outliers per techniques &amp; human'!V117),'outliers per techniques &amp; human'!V117,"")</f>
        <v/>
      </c>
      <c r="D116" t="str">
        <f>IF(COUNTIF('outliers per techniques &amp; human'!C$3:C$38,'outliers per techniques &amp; human'!V117),'outliers per techniques &amp; human'!V117,"")</f>
        <v/>
      </c>
      <c r="E116" t="str">
        <f>IF(COUNTIF('outliers per techniques &amp; human'!D$3:D$38,'outliers per techniques &amp; human'!V117),'outliers per techniques &amp; human'!V117,"")</f>
        <v/>
      </c>
      <c r="F116" t="str">
        <f>IF(COUNTIF('outliers per techniques &amp; human'!E$3:E$24,'outliers per techniques &amp; human'!V117),'outliers per techniques &amp; human'!V117,"")</f>
        <v/>
      </c>
      <c r="G116" t="str">
        <f>IF(COUNTIF('outliers per techniques &amp; human'!F$3:F$24,'outliers per techniques &amp; human'!V117),'outliers per techniques &amp; human'!V117,"")</f>
        <v/>
      </c>
      <c r="H116" t="str">
        <f>IF(COUNTIF('outliers per techniques &amp; human'!G$3:G$42,'outliers per techniques &amp; human'!V117),'outliers per techniques &amp; human'!V117,"")</f>
        <v/>
      </c>
      <c r="I116" t="str">
        <f>IF(COUNTIF('outliers per techniques &amp; human'!H$3:H$42,'outliers per techniques &amp; human'!V117),'outliers per techniques &amp; human'!V117,"")</f>
        <v>schlagwortkatalog</v>
      </c>
      <c r="J116" t="str">
        <f>IF(COUNTIF('outliers per techniques &amp; human'!I$3:I$21,'outliers per techniques &amp; human'!V117),'outliers per techniques &amp; human'!V117,"")</f>
        <v/>
      </c>
      <c r="K116" t="str">
        <f>IF(COUNTIF('outliers per techniques &amp; human'!J$3:J$47,'outliers per techniques &amp; human'!V117),'outliers per techniques &amp; human'!V117,"")</f>
        <v/>
      </c>
      <c r="L116" t="str">
        <f>IF(COUNTIF('outliers per techniques &amp; human'!K$3:K$78,'outliers per techniques &amp; human'!V117),'outliers per techniques &amp; human'!V117,"")</f>
        <v/>
      </c>
      <c r="M116" t="str">
        <f>IF(COUNTIF('outliers per techniques &amp; human'!L$3:L$17,'outliers per techniques &amp; human'!V117),'outliers per techniques &amp; human'!V117,"")</f>
        <v/>
      </c>
      <c r="N116" t="str">
        <f>IF(COUNTIF('outliers per techniques &amp; human'!M$3:M$200,'outliers per techniques &amp; human'!V117),'outliers per techniques &amp; human'!V117,"")</f>
        <v/>
      </c>
      <c r="O116" t="str">
        <f>IF(COUNTIF('outliers per techniques &amp; human'!N$3:N$25,'outliers per techniques &amp; human'!V117),'outliers per techniques &amp; human'!V117,"")</f>
        <v/>
      </c>
      <c r="P116" t="str">
        <f>IF(COUNTIF('outliers per techniques &amp; human'!O$3:O$368,'outliers per techniques &amp; human'!V117),'outliers per techniques &amp; human'!V117,"")</f>
        <v/>
      </c>
    </row>
    <row r="117" spans="2:16" x14ac:dyDescent="0.25">
      <c r="B117" s="4" t="str">
        <f>IF(COUNTIF('outliers per techniques &amp; human'!A$3:A$28,'outliers per techniques &amp; human'!$V118),'outliers per techniques &amp; human'!$V118,"")</f>
        <v/>
      </c>
      <c r="C117" t="str">
        <f>IF(COUNTIF('outliers per techniques &amp; human'!B$3:B$28,'outliers per techniques &amp; human'!V118),'outliers per techniques &amp; human'!V118,"")</f>
        <v/>
      </c>
      <c r="D117" t="str">
        <f>IF(COUNTIF('outliers per techniques &amp; human'!C$3:C$38,'outliers per techniques &amp; human'!V118),'outliers per techniques &amp; human'!V118,"")</f>
        <v/>
      </c>
      <c r="E117" t="str">
        <f>IF(COUNTIF('outliers per techniques &amp; human'!D$3:D$38,'outliers per techniques &amp; human'!V118),'outliers per techniques &amp; human'!V118,"")</f>
        <v/>
      </c>
      <c r="F117" t="str">
        <f>IF(COUNTIF('outliers per techniques &amp; human'!E$3:E$24,'outliers per techniques &amp; human'!V118),'outliers per techniques &amp; human'!V118,"")</f>
        <v/>
      </c>
      <c r="G117" t="str">
        <f>IF(COUNTIF('outliers per techniques &amp; human'!F$3:F$24,'outliers per techniques &amp; human'!V118),'outliers per techniques &amp; human'!V118,"")</f>
        <v/>
      </c>
      <c r="H117" t="str">
        <f>IF(COUNTIF('outliers per techniques &amp; human'!G$3:G$42,'outliers per techniques &amp; human'!V118),'outliers per techniques &amp; human'!V118,"")</f>
        <v/>
      </c>
      <c r="I117" t="str">
        <f>IF(COUNTIF('outliers per techniques &amp; human'!H$3:H$42,'outliers per techniques &amp; human'!V118),'outliers per techniques &amp; human'!V118,"")</f>
        <v/>
      </c>
      <c r="J117" t="str">
        <f>IF(COUNTIF('outliers per techniques &amp; human'!I$3:I$21,'outliers per techniques &amp; human'!V118),'outliers per techniques &amp; human'!V118,"")</f>
        <v/>
      </c>
      <c r="K117" t="str">
        <f>IF(COUNTIF('outliers per techniques &amp; human'!J$3:J$47,'outliers per techniques &amp; human'!V118),'outliers per techniques &amp; human'!V118,"")</f>
        <v/>
      </c>
      <c r="L117" t="str">
        <f>IF(COUNTIF('outliers per techniques &amp; human'!K$3:K$78,'outliers per techniques &amp; human'!V118),'outliers per techniques &amp; human'!V118,"")</f>
        <v/>
      </c>
      <c r="M117" t="str">
        <f>IF(COUNTIF('outliers per techniques &amp; human'!L$3:L$17,'outliers per techniques &amp; human'!V118),'outliers per techniques &amp; human'!V118,"")</f>
        <v/>
      </c>
      <c r="N117" t="str">
        <f>IF(COUNTIF('outliers per techniques &amp; human'!M$3:M$200,'outliers per techniques &amp; human'!V118),'outliers per techniques &amp; human'!V118,"")</f>
        <v>popularisierung</v>
      </c>
      <c r="O117" t="str">
        <f>IF(COUNTIF('outliers per techniques &amp; human'!N$3:N$25,'outliers per techniques &amp; human'!V118),'outliers per techniques &amp; human'!V118,"")</f>
        <v/>
      </c>
      <c r="P117" t="str">
        <f>IF(COUNTIF('outliers per techniques &amp; human'!O$3:O$368,'outliers per techniques &amp; human'!V118),'outliers per techniques &amp; human'!V118,"")</f>
        <v/>
      </c>
    </row>
    <row r="118" spans="2:16" x14ac:dyDescent="0.25">
      <c r="B118" s="4" t="str">
        <f>IF(COUNTIF('outliers per techniques &amp; human'!A$3:A$28,'outliers per techniques &amp; human'!$V119),'outliers per techniques &amp; human'!$V119,"")</f>
        <v/>
      </c>
      <c r="C118" t="str">
        <f>IF(COUNTIF('outliers per techniques &amp; human'!B$3:B$28,'outliers per techniques &amp; human'!V119),'outliers per techniques &amp; human'!V119,"")</f>
        <v/>
      </c>
      <c r="D118" t="str">
        <f>IF(COUNTIF('outliers per techniques &amp; human'!C$3:C$38,'outliers per techniques &amp; human'!V119),'outliers per techniques &amp; human'!V119,"")</f>
        <v/>
      </c>
      <c r="E118" t="str">
        <f>IF(COUNTIF('outliers per techniques &amp; human'!D$3:D$38,'outliers per techniques &amp; human'!V119),'outliers per techniques &amp; human'!V119,"")</f>
        <v/>
      </c>
      <c r="F118" t="str">
        <f>IF(COUNTIF('outliers per techniques &amp; human'!E$3:E$24,'outliers per techniques &amp; human'!V119),'outliers per techniques &amp; human'!V119,"")</f>
        <v/>
      </c>
      <c r="G118" t="str">
        <f>IF(COUNTIF('outliers per techniques &amp; human'!F$3:F$24,'outliers per techniques &amp; human'!V119),'outliers per techniques &amp; human'!V119,"")</f>
        <v/>
      </c>
      <c r="H118" t="str">
        <f>IF(COUNTIF('outliers per techniques &amp; human'!G$3:G$42,'outliers per techniques &amp; human'!V119),'outliers per techniques &amp; human'!V119,"")</f>
        <v/>
      </c>
      <c r="I118" t="str">
        <f>IF(COUNTIF('outliers per techniques &amp; human'!H$3:H$42,'outliers per techniques &amp; human'!V119),'outliers per techniques &amp; human'!V119,"")</f>
        <v/>
      </c>
      <c r="J118" t="str">
        <f>IF(COUNTIF('outliers per techniques &amp; human'!I$3:I$21,'outliers per techniques &amp; human'!V119),'outliers per techniques &amp; human'!V119,"")</f>
        <v/>
      </c>
      <c r="K118" t="str">
        <f>IF(COUNTIF('outliers per techniques &amp; human'!J$3:J$47,'outliers per techniques &amp; human'!V119),'outliers per techniques &amp; human'!V119,"")</f>
        <v/>
      </c>
      <c r="L118" t="str">
        <f>IF(COUNTIF('outliers per techniques &amp; human'!K$3:K$78,'outliers per techniques &amp; human'!V119),'outliers per techniques &amp; human'!V119,"")</f>
        <v/>
      </c>
      <c r="M118" t="str">
        <f>IF(COUNTIF('outliers per techniques &amp; human'!L$3:L$17,'outliers per techniques &amp; human'!V119),'outliers per techniques &amp; human'!V119,"")</f>
        <v/>
      </c>
      <c r="N118" t="str">
        <f>IF(COUNTIF('outliers per techniques &amp; human'!M$3:M$200,'outliers per techniques &amp; human'!V119),'outliers per techniques &amp; human'!V119,"")</f>
        <v/>
      </c>
      <c r="O118" t="str">
        <f>IF(COUNTIF('outliers per techniques &amp; human'!N$3:N$25,'outliers per techniques &amp; human'!V119),'outliers per techniques &amp; human'!V119,"")</f>
        <v>should</v>
      </c>
      <c r="P118" t="str">
        <f>IF(COUNTIF('outliers per techniques &amp; human'!O$3:O$368,'outliers per techniques &amp; human'!V119),'outliers per techniques &amp; human'!V119,"")</f>
        <v/>
      </c>
    </row>
    <row r="119" spans="2:16" x14ac:dyDescent="0.25">
      <c r="B119" s="4" t="str">
        <f>IF(COUNTIF('outliers per techniques &amp; human'!A$3:A$28,'outliers per techniques &amp; human'!$V120),'outliers per techniques &amp; human'!$V120,"")</f>
        <v/>
      </c>
      <c r="C119" t="str">
        <f>IF(COUNTIF('outliers per techniques &amp; human'!B$3:B$28,'outliers per techniques &amp; human'!V120),'outliers per techniques &amp; human'!V120,"")</f>
        <v/>
      </c>
      <c r="D119" t="str">
        <f>IF(COUNTIF('outliers per techniques &amp; human'!C$3:C$38,'outliers per techniques &amp; human'!V120),'outliers per techniques &amp; human'!V120,"")</f>
        <v/>
      </c>
      <c r="E119" t="str">
        <f>IF(COUNTIF('outliers per techniques &amp; human'!D$3:D$38,'outliers per techniques &amp; human'!V120),'outliers per techniques &amp; human'!V120,"")</f>
        <v/>
      </c>
      <c r="F119" t="str">
        <f>IF(COUNTIF('outliers per techniques &amp; human'!E$3:E$24,'outliers per techniques &amp; human'!V120),'outliers per techniques &amp; human'!V120,"")</f>
        <v/>
      </c>
      <c r="G119" t="str">
        <f>IF(COUNTIF('outliers per techniques &amp; human'!F$3:F$24,'outliers per techniques &amp; human'!V120),'outliers per techniques &amp; human'!V120,"")</f>
        <v/>
      </c>
      <c r="H119" t="str">
        <f>IF(COUNTIF('outliers per techniques &amp; human'!G$3:G$42,'outliers per techniques &amp; human'!V120),'outliers per techniques &amp; human'!V120,"")</f>
        <v/>
      </c>
      <c r="I119" t="str">
        <f>IF(COUNTIF('outliers per techniques &amp; human'!H$3:H$42,'outliers per techniques &amp; human'!V120),'outliers per techniques &amp; human'!V120,"")</f>
        <v/>
      </c>
      <c r="J119" t="str">
        <f>IF(COUNTIF('outliers per techniques &amp; human'!I$3:I$21,'outliers per techniques &amp; human'!V120),'outliers per techniques &amp; human'!V120,"")</f>
        <v/>
      </c>
      <c r="K119" t="str">
        <f>IF(COUNTIF('outliers per techniques &amp; human'!J$3:J$47,'outliers per techniques &amp; human'!V120),'outliers per techniques &amp; human'!V120,"")</f>
        <v/>
      </c>
      <c r="L119" t="str">
        <f>IF(COUNTIF('outliers per techniques &amp; human'!K$3:K$78,'outliers per techniques &amp; human'!V120),'outliers per techniques &amp; human'!V120,"")</f>
        <v/>
      </c>
      <c r="M119" t="str">
        <f>IF(COUNTIF('outliers per techniques &amp; human'!L$3:L$17,'outliers per techniques &amp; human'!V120),'outliers per techniques &amp; human'!V120,"")</f>
        <v/>
      </c>
      <c r="N119" t="str">
        <f>IF(COUNTIF('outliers per techniques &amp; human'!M$3:M$200,'outliers per techniques &amp; human'!V120),'outliers per techniques &amp; human'!V120,"")</f>
        <v/>
      </c>
      <c r="O119" t="str">
        <f>IF(COUNTIF('outliers per techniques &amp; human'!N$3:N$25,'outliers per techniques &amp; human'!V120),'outliers per techniques &amp; human'!V120,"")</f>
        <v/>
      </c>
      <c r="P119" t="str">
        <f>IF(COUNTIF('outliers per techniques &amp; human'!O$3:O$368,'outliers per techniques &amp; human'!V120),'outliers per techniques &amp; human'!V120,"")</f>
        <v>integrationskonzept</v>
      </c>
    </row>
    <row r="120" spans="2:16" x14ac:dyDescent="0.25">
      <c r="B120" s="4" t="str">
        <f>IF(COUNTIF('outliers per techniques &amp; human'!A$3:A$28,'outliers per techniques &amp; human'!$V121),'outliers per techniques &amp; human'!$V121,"")</f>
        <v/>
      </c>
      <c r="C120" t="str">
        <f>IF(COUNTIF('outliers per techniques &amp; human'!B$3:B$28,'outliers per techniques &amp; human'!V121),'outliers per techniques &amp; human'!V121,"")</f>
        <v/>
      </c>
      <c r="D120" t="str">
        <f>IF(COUNTIF('outliers per techniques &amp; human'!C$3:C$38,'outliers per techniques &amp; human'!V121),'outliers per techniques &amp; human'!V121,"")</f>
        <v/>
      </c>
      <c r="E120" t="str">
        <f>IF(COUNTIF('outliers per techniques &amp; human'!D$3:D$38,'outliers per techniques &amp; human'!V121),'outliers per techniques &amp; human'!V121,"")</f>
        <v/>
      </c>
      <c r="F120" t="str">
        <f>IF(COUNTIF('outliers per techniques &amp; human'!E$3:E$24,'outliers per techniques &amp; human'!V121),'outliers per techniques &amp; human'!V121,"")</f>
        <v/>
      </c>
      <c r="G120" t="str">
        <f>IF(COUNTIF('outliers per techniques &amp; human'!F$3:F$24,'outliers per techniques &amp; human'!V121),'outliers per techniques &amp; human'!V121,"")</f>
        <v/>
      </c>
      <c r="H120" t="str">
        <f>IF(COUNTIF('outliers per techniques &amp; human'!G$3:G$42,'outliers per techniques &amp; human'!V121),'outliers per techniques &amp; human'!V121,"")</f>
        <v/>
      </c>
      <c r="I120" t="str">
        <f>IF(COUNTIF('outliers per techniques &amp; human'!H$3:H$42,'outliers per techniques &amp; human'!V121),'outliers per techniques &amp; human'!V121,"")</f>
        <v/>
      </c>
      <c r="J120" t="str">
        <f>IF(COUNTIF('outliers per techniques &amp; human'!I$3:I$21,'outliers per techniques &amp; human'!V121),'outliers per techniques &amp; human'!V121,"")</f>
        <v/>
      </c>
      <c r="K120" t="str">
        <f>IF(COUNTIF('outliers per techniques &amp; human'!J$3:J$47,'outliers per techniques &amp; human'!V121),'outliers per techniques &amp; human'!V121,"")</f>
        <v/>
      </c>
      <c r="L120" t="str">
        <f>IF(COUNTIF('outliers per techniques &amp; human'!K$3:K$78,'outliers per techniques &amp; human'!V121),'outliers per techniques &amp; human'!V121,"")</f>
        <v/>
      </c>
      <c r="M120" t="str">
        <f>IF(COUNTIF('outliers per techniques &amp; human'!L$3:L$17,'outliers per techniques &amp; human'!V121),'outliers per techniques &amp; human'!V121,"")</f>
        <v/>
      </c>
      <c r="N120" t="str">
        <f>IF(COUNTIF('outliers per techniques &amp; human'!M$3:M$200,'outliers per techniques &amp; human'!V121),'outliers per techniques &amp; human'!V121,"")</f>
        <v>contentdm</v>
      </c>
      <c r="O120" t="str">
        <f>IF(COUNTIF('outliers per techniques &amp; human'!N$3:N$25,'outliers per techniques &amp; human'!V121),'outliers per techniques &amp; human'!V121,"")</f>
        <v/>
      </c>
      <c r="P120" t="str">
        <f>IF(COUNTIF('outliers per techniques &amp; human'!O$3:O$368,'outliers per techniques &amp; human'!V121),'outliers per techniques &amp; human'!V121,"")</f>
        <v/>
      </c>
    </row>
    <row r="121" spans="2:16" x14ac:dyDescent="0.25">
      <c r="B121" s="4" t="str">
        <f>IF(COUNTIF('outliers per techniques &amp; human'!A$3:A$28,'outliers per techniques &amp; human'!$V122),'outliers per techniques &amp; human'!$V122,"")</f>
        <v/>
      </c>
      <c r="C121" t="str">
        <f>IF(COUNTIF('outliers per techniques &amp; human'!B$3:B$28,'outliers per techniques &amp; human'!V122),'outliers per techniques &amp; human'!V122,"")</f>
        <v/>
      </c>
      <c r="D121" t="str">
        <f>IF(COUNTIF('outliers per techniques &amp; human'!C$3:C$38,'outliers per techniques &amp; human'!V122),'outliers per techniques &amp; human'!V122,"")</f>
        <v/>
      </c>
      <c r="E121" t="str">
        <f>IF(COUNTIF('outliers per techniques &amp; human'!D$3:D$38,'outliers per techniques &amp; human'!V122),'outliers per techniques &amp; human'!V122,"")</f>
        <v/>
      </c>
      <c r="F121" t="str">
        <f>IF(COUNTIF('outliers per techniques &amp; human'!E$3:E$24,'outliers per techniques &amp; human'!V122),'outliers per techniques &amp; human'!V122,"")</f>
        <v/>
      </c>
      <c r="G121" t="str">
        <f>IF(COUNTIF('outliers per techniques &amp; human'!F$3:F$24,'outliers per techniques &amp; human'!V122),'outliers per techniques &amp; human'!V122,"")</f>
        <v/>
      </c>
      <c r="H121" t="str">
        <f>IF(COUNTIF('outliers per techniques &amp; human'!G$3:G$42,'outliers per techniques &amp; human'!V122),'outliers per techniques &amp; human'!V122,"")</f>
        <v/>
      </c>
      <c r="I121" t="str">
        <f>IF(COUNTIF('outliers per techniques &amp; human'!H$3:H$42,'outliers per techniques &amp; human'!V122),'outliers per techniques &amp; human'!V122,"")</f>
        <v/>
      </c>
      <c r="J121" t="str">
        <f>IF(COUNTIF('outliers per techniques &amp; human'!I$3:I$21,'outliers per techniques &amp; human'!V122),'outliers per techniques &amp; human'!V122,"")</f>
        <v/>
      </c>
      <c r="K121" t="str">
        <f>IF(COUNTIF('outliers per techniques &amp; human'!J$3:J$47,'outliers per techniques &amp; human'!V122),'outliers per techniques &amp; human'!V122,"")</f>
        <v/>
      </c>
      <c r="L121" t="str">
        <f>IF(COUNTIF('outliers per techniques &amp; human'!K$3:K$78,'outliers per techniques &amp; human'!V122),'outliers per techniques &amp; human'!V122,"")</f>
        <v>literaturverwaltung</v>
      </c>
      <c r="M121" t="str">
        <f>IF(COUNTIF('outliers per techniques &amp; human'!L$3:L$17,'outliers per techniques &amp; human'!V122),'outliers per techniques &amp; human'!V122,"")</f>
        <v/>
      </c>
      <c r="N121" t="str">
        <f>IF(COUNTIF('outliers per techniques &amp; human'!M$3:M$200,'outliers per techniques &amp; human'!V122),'outliers per techniques &amp; human'!V122,"")</f>
        <v>literaturverwaltung</v>
      </c>
      <c r="O121" t="str">
        <f>IF(COUNTIF('outliers per techniques &amp; human'!N$3:N$25,'outliers per techniques &amp; human'!V122),'outliers per techniques &amp; human'!V122,"")</f>
        <v/>
      </c>
      <c r="P121" t="str">
        <f>IF(COUNTIF('outliers per techniques &amp; human'!O$3:O$368,'outliers per techniques &amp; human'!V122),'outliers per techniques &amp; human'!V122,"")</f>
        <v/>
      </c>
    </row>
    <row r="122" spans="2:16" x14ac:dyDescent="0.25">
      <c r="B122" s="4" t="str">
        <f>IF(COUNTIF('outliers per techniques &amp; human'!A$3:A$28,'outliers per techniques &amp; human'!$V123),'outliers per techniques &amp; human'!$V123,"")</f>
        <v/>
      </c>
      <c r="C122" t="str">
        <f>IF(COUNTIF('outliers per techniques &amp; human'!B$3:B$28,'outliers per techniques &amp; human'!V123),'outliers per techniques &amp; human'!V123,"")</f>
        <v/>
      </c>
      <c r="D122" t="str">
        <f>IF(COUNTIF('outliers per techniques &amp; human'!C$3:C$38,'outliers per techniques &amp; human'!V123),'outliers per techniques &amp; human'!V123,"")</f>
        <v/>
      </c>
      <c r="E122" t="str">
        <f>IF(COUNTIF('outliers per techniques &amp; human'!D$3:D$38,'outliers per techniques &amp; human'!V123),'outliers per techniques &amp; human'!V123,"")</f>
        <v/>
      </c>
      <c r="F122" t="str">
        <f>IF(COUNTIF('outliers per techniques &amp; human'!E$3:E$24,'outliers per techniques &amp; human'!V123),'outliers per techniques &amp; human'!V123,"")</f>
        <v/>
      </c>
      <c r="G122" t="str">
        <f>IF(COUNTIF('outliers per techniques &amp; human'!F$3:F$24,'outliers per techniques &amp; human'!V123),'outliers per techniques &amp; human'!V123,"")</f>
        <v/>
      </c>
      <c r="H122" t="str">
        <f>IF(COUNTIF('outliers per techniques &amp; human'!G$3:G$42,'outliers per techniques &amp; human'!V123),'outliers per techniques &amp; human'!V123,"")</f>
        <v/>
      </c>
      <c r="I122" t="str">
        <f>IF(COUNTIF('outliers per techniques &amp; human'!H$3:H$42,'outliers per techniques &amp; human'!V123),'outliers per techniques &amp; human'!V123,"")</f>
        <v/>
      </c>
      <c r="J122" t="str">
        <f>IF(COUNTIF('outliers per techniques &amp; human'!I$3:I$21,'outliers per techniques &amp; human'!V123),'outliers per techniques &amp; human'!V123,"")</f>
        <v/>
      </c>
      <c r="K122" t="str">
        <f>IF(COUNTIF('outliers per techniques &amp; human'!J$3:J$47,'outliers per techniques &amp; human'!V123),'outliers per techniques &amp; human'!V123,"")</f>
        <v/>
      </c>
      <c r="L122" t="str">
        <f>IF(COUNTIF('outliers per techniques &amp; human'!K$3:K$78,'outliers per techniques &amp; human'!V123),'outliers per techniques &amp; human'!V123,"")</f>
        <v/>
      </c>
      <c r="M122" t="str">
        <f>IF(COUNTIF('outliers per techniques &amp; human'!L$3:L$17,'outliers per techniques &amp; human'!V123),'outliers per techniques &amp; human'!V123,"")</f>
        <v/>
      </c>
      <c r="N122" t="str">
        <f>IF(COUNTIF('outliers per techniques &amp; human'!M$3:M$200,'outliers per techniques &amp; human'!V123),'outliers per techniques &amp; human'!V123,"")</f>
        <v>poetik</v>
      </c>
      <c r="O122" t="str">
        <f>IF(COUNTIF('outliers per techniques &amp; human'!N$3:N$25,'outliers per techniques &amp; human'!V123),'outliers per techniques &amp; human'!V123,"")</f>
        <v/>
      </c>
      <c r="P122" t="str">
        <f>IF(COUNTIF('outliers per techniques &amp; human'!O$3:O$368,'outliers per techniques &amp; human'!V123),'outliers per techniques &amp; human'!V123,"")</f>
        <v/>
      </c>
    </row>
    <row r="123" spans="2:16" x14ac:dyDescent="0.25">
      <c r="B123" s="4" t="str">
        <f>IF(COUNTIF('outliers per techniques &amp; human'!A$3:A$28,'outliers per techniques &amp; human'!$V124),'outliers per techniques &amp; human'!$V124,"")</f>
        <v/>
      </c>
      <c r="C123" t="str">
        <f>IF(COUNTIF('outliers per techniques &amp; human'!B$3:B$28,'outliers per techniques &amp; human'!V124),'outliers per techniques &amp; human'!V124,"")</f>
        <v/>
      </c>
      <c r="D123" t="str">
        <f>IF(COUNTIF('outliers per techniques &amp; human'!C$3:C$38,'outliers per techniques &amp; human'!V124),'outliers per techniques &amp; human'!V124,"")</f>
        <v/>
      </c>
      <c r="E123" t="str">
        <f>IF(COUNTIF('outliers per techniques &amp; human'!D$3:D$38,'outliers per techniques &amp; human'!V124),'outliers per techniques &amp; human'!V124,"")</f>
        <v/>
      </c>
      <c r="F123" t="str">
        <f>IF(COUNTIF('outliers per techniques &amp; human'!E$3:E$24,'outliers per techniques &amp; human'!V124),'outliers per techniques &amp; human'!V124,"")</f>
        <v/>
      </c>
      <c r="G123" t="str">
        <f>IF(COUNTIF('outliers per techniques &amp; human'!F$3:F$24,'outliers per techniques &amp; human'!V124),'outliers per techniques &amp; human'!V124,"")</f>
        <v/>
      </c>
      <c r="H123" t="str">
        <f>IF(COUNTIF('outliers per techniques &amp; human'!G$3:G$42,'outliers per techniques &amp; human'!V124),'outliers per techniques &amp; human'!V124,"")</f>
        <v/>
      </c>
      <c r="I123" t="str">
        <f>IF(COUNTIF('outliers per techniques &amp; human'!H$3:H$42,'outliers per techniques &amp; human'!V124),'outliers per techniques &amp; human'!V124,"")</f>
        <v/>
      </c>
      <c r="J123" t="str">
        <f>IF(COUNTIF('outliers per techniques &amp; human'!I$3:I$21,'outliers per techniques &amp; human'!V124),'outliers per techniques &amp; human'!V124,"")</f>
        <v/>
      </c>
      <c r="K123" t="str">
        <f>IF(COUNTIF('outliers per techniques &amp; human'!J$3:J$47,'outliers per techniques &amp; human'!V124),'outliers per techniques &amp; human'!V124,"")</f>
        <v/>
      </c>
      <c r="L123" t="str">
        <f>IF(COUNTIF('outliers per techniques &amp; human'!K$3:K$78,'outliers per techniques &amp; human'!V124),'outliers per techniques &amp; human'!V124,"")</f>
        <v/>
      </c>
      <c r="M123" t="str">
        <f>IF(COUNTIF('outliers per techniques &amp; human'!L$3:L$17,'outliers per techniques &amp; human'!V124),'outliers per techniques &amp; human'!V124,"")</f>
        <v/>
      </c>
      <c r="N123" t="str">
        <f>IF(COUNTIF('outliers per techniques &amp; human'!M$3:M$200,'outliers per techniques &amp; human'!V124),'outliers per techniques &amp; human'!V124,"")</f>
        <v>ecla</v>
      </c>
      <c r="O123" t="str">
        <f>IF(COUNTIF('outliers per techniques &amp; human'!N$3:N$25,'outliers per techniques &amp; human'!V124),'outliers per techniques &amp; human'!V124,"")</f>
        <v/>
      </c>
      <c r="P123" t="str">
        <f>IF(COUNTIF('outliers per techniques &amp; human'!O$3:O$368,'outliers per techniques &amp; human'!V124),'outliers per techniques &amp; human'!V124,"")</f>
        <v/>
      </c>
    </row>
    <row r="124" spans="2:16" x14ac:dyDescent="0.25">
      <c r="B124" s="4" t="str">
        <f>IF(COUNTIF('outliers per techniques &amp; human'!A$3:A$28,'outliers per techniques &amp; human'!$V125),'outliers per techniques &amp; human'!$V125,"")</f>
        <v/>
      </c>
      <c r="C124" t="str">
        <f>IF(COUNTIF('outliers per techniques &amp; human'!B$3:B$28,'outliers per techniques &amp; human'!V125),'outliers per techniques &amp; human'!V125,"")</f>
        <v/>
      </c>
      <c r="D124" t="str">
        <f>IF(COUNTIF('outliers per techniques &amp; human'!C$3:C$38,'outliers per techniques &amp; human'!V125),'outliers per techniques &amp; human'!V125,"")</f>
        <v/>
      </c>
      <c r="E124" t="str">
        <f>IF(COUNTIF('outliers per techniques &amp; human'!D$3:D$38,'outliers per techniques &amp; human'!V125),'outliers per techniques &amp; human'!V125,"")</f>
        <v/>
      </c>
      <c r="F124" t="str">
        <f>IF(COUNTIF('outliers per techniques &amp; human'!E$3:E$24,'outliers per techniques &amp; human'!V125),'outliers per techniques &amp; human'!V125,"")</f>
        <v/>
      </c>
      <c r="G124" t="str">
        <f>IF(COUNTIF('outliers per techniques &amp; human'!F$3:F$24,'outliers per techniques &amp; human'!V125),'outliers per techniques &amp; human'!V125,"")</f>
        <v/>
      </c>
      <c r="H124" t="str">
        <f>IF(COUNTIF('outliers per techniques &amp; human'!G$3:G$42,'outliers per techniques &amp; human'!V125),'outliers per techniques &amp; human'!V125,"")</f>
        <v/>
      </c>
      <c r="I124" t="str">
        <f>IF(COUNTIF('outliers per techniques &amp; human'!H$3:H$42,'outliers per techniques &amp; human'!V125),'outliers per techniques &amp; human'!V125,"")</f>
        <v/>
      </c>
      <c r="J124" t="str">
        <f>IF(COUNTIF('outliers per techniques &amp; human'!I$3:I$21,'outliers per techniques &amp; human'!V125),'outliers per techniques &amp; human'!V125,"")</f>
        <v/>
      </c>
      <c r="K124" t="str">
        <f>IF(COUNTIF('outliers per techniques &amp; human'!J$3:J$47,'outliers per techniques &amp; human'!V125),'outliers per techniques &amp; human'!V125,"")</f>
        <v/>
      </c>
      <c r="L124" t="str">
        <f>IF(COUNTIF('outliers per techniques &amp; human'!K$3:K$78,'outliers per techniques &amp; human'!V125),'outliers per techniques &amp; human'!V125,"")</f>
        <v/>
      </c>
      <c r="M124" t="str">
        <f>IF(COUNTIF('outliers per techniques &amp; human'!L$3:L$17,'outliers per techniques &amp; human'!V125),'outliers per techniques &amp; human'!V125,"")</f>
        <v/>
      </c>
      <c r="N124" t="str">
        <f>IF(COUNTIF('outliers per techniques &amp; human'!M$3:M$200,'outliers per techniques &amp; human'!V125),'outliers per techniques &amp; human'!V125,"")</f>
        <v>informationsbedarfsanalyse</v>
      </c>
      <c r="O124" t="str">
        <f>IF(COUNTIF('outliers per techniques &amp; human'!N$3:N$25,'outliers per techniques &amp; human'!V125),'outliers per techniques &amp; human'!V125,"")</f>
        <v/>
      </c>
      <c r="P124" t="str">
        <f>IF(COUNTIF('outliers per techniques &amp; human'!O$3:O$368,'outliers per techniques &amp; human'!V125),'outliers per techniques &amp; human'!V125,"")</f>
        <v/>
      </c>
    </row>
    <row r="125" spans="2:16" x14ac:dyDescent="0.25">
      <c r="B125" s="4" t="str">
        <f>IF(COUNTIF('outliers per techniques &amp; human'!A$3:A$28,'outliers per techniques &amp; human'!$V126),'outliers per techniques &amp; human'!$V126,"")</f>
        <v/>
      </c>
      <c r="C125" t="str">
        <f>IF(COUNTIF('outliers per techniques &amp; human'!B$3:B$28,'outliers per techniques &amp; human'!V126),'outliers per techniques &amp; human'!V126,"")</f>
        <v/>
      </c>
      <c r="D125" t="str">
        <f>IF(COUNTIF('outliers per techniques &amp; human'!C$3:C$38,'outliers per techniques &amp; human'!V126),'outliers per techniques &amp; human'!V126,"")</f>
        <v/>
      </c>
      <c r="E125" t="str">
        <f>IF(COUNTIF('outliers per techniques &amp; human'!D$3:D$38,'outliers per techniques &amp; human'!V126),'outliers per techniques &amp; human'!V126,"")</f>
        <v/>
      </c>
      <c r="F125" t="str">
        <f>IF(COUNTIF('outliers per techniques &amp; human'!E$3:E$24,'outliers per techniques &amp; human'!V126),'outliers per techniques &amp; human'!V126,"")</f>
        <v/>
      </c>
      <c r="G125" t="str">
        <f>IF(COUNTIF('outliers per techniques &amp; human'!F$3:F$24,'outliers per techniques &amp; human'!V126),'outliers per techniques &amp; human'!V126,"")</f>
        <v/>
      </c>
      <c r="H125" t="str">
        <f>IF(COUNTIF('outliers per techniques &amp; human'!G$3:G$42,'outliers per techniques &amp; human'!V126),'outliers per techniques &amp; human'!V126,"")</f>
        <v/>
      </c>
      <c r="I125" t="str">
        <f>IF(COUNTIF('outliers per techniques &amp; human'!H$3:H$42,'outliers per techniques &amp; human'!V126),'outliers per techniques &amp; human'!V126,"")</f>
        <v/>
      </c>
      <c r="J125" t="str">
        <f>IF(COUNTIF('outliers per techniques &amp; human'!I$3:I$21,'outliers per techniques &amp; human'!V126),'outliers per techniques &amp; human'!V126,"")</f>
        <v/>
      </c>
      <c r="K125" t="str">
        <f>IF(COUNTIF('outliers per techniques &amp; human'!J$3:J$47,'outliers per techniques &amp; human'!V126),'outliers per techniques &amp; human'!V126,"")</f>
        <v/>
      </c>
      <c r="L125" t="str">
        <f>IF(COUNTIF('outliers per techniques &amp; human'!K$3:K$78,'outliers per techniques &amp; human'!V126),'outliers per techniques &amp; human'!V126,"")</f>
        <v/>
      </c>
      <c r="M125" t="str">
        <f>IF(COUNTIF('outliers per techniques &amp; human'!L$3:L$17,'outliers per techniques &amp; human'!V126),'outliers per techniques &amp; human'!V126,"")</f>
        <v/>
      </c>
      <c r="N125" t="str">
        <f>IF(COUNTIF('outliers per techniques &amp; human'!M$3:M$200,'outliers per techniques &amp; human'!V126),'outliers per techniques &amp; human'!V126,"")</f>
        <v/>
      </c>
      <c r="O125" t="str">
        <f>IF(COUNTIF('outliers per techniques &amp; human'!N$3:N$25,'outliers per techniques &amp; human'!V126),'outliers per techniques &amp; human'!V126,"")</f>
        <v/>
      </c>
      <c r="P125" t="str">
        <f>IF(COUNTIF('outliers per techniques &amp; human'!O$3:O$368,'outliers per techniques &amp; human'!V126),'outliers per techniques &amp; human'!V126,"")</f>
        <v>textsatz</v>
      </c>
    </row>
    <row r="126" spans="2:16" x14ac:dyDescent="0.25">
      <c r="B126" s="4" t="str">
        <f>IF(COUNTIF('outliers per techniques &amp; human'!A$3:A$28,'outliers per techniques &amp; human'!$V127),'outliers per techniques &amp; human'!$V127,"")</f>
        <v/>
      </c>
      <c r="C126" t="str">
        <f>IF(COUNTIF('outliers per techniques &amp; human'!B$3:B$28,'outliers per techniques &amp; human'!V127),'outliers per techniques &amp; human'!V127,"")</f>
        <v/>
      </c>
      <c r="D126" t="str">
        <f>IF(COUNTIF('outliers per techniques &amp; human'!C$3:C$38,'outliers per techniques &amp; human'!V127),'outliers per techniques &amp; human'!V127,"")</f>
        <v/>
      </c>
      <c r="E126" t="str">
        <f>IF(COUNTIF('outliers per techniques &amp; human'!D$3:D$38,'outliers per techniques &amp; human'!V127),'outliers per techniques &amp; human'!V127,"")</f>
        <v/>
      </c>
      <c r="F126" t="str">
        <f>IF(COUNTIF('outliers per techniques &amp; human'!E$3:E$24,'outliers per techniques &amp; human'!V127),'outliers per techniques &amp; human'!V127,"")</f>
        <v/>
      </c>
      <c r="G126" t="str">
        <f>IF(COUNTIF('outliers per techniques &amp; human'!F$3:F$24,'outliers per techniques &amp; human'!V127),'outliers per techniques &amp; human'!V127,"")</f>
        <v/>
      </c>
      <c r="H126" t="str">
        <f>IF(COUNTIF('outliers per techniques &amp; human'!G$3:G$42,'outliers per techniques &amp; human'!V127),'outliers per techniques &amp; human'!V127,"")</f>
        <v/>
      </c>
      <c r="I126" t="str">
        <f>IF(COUNTIF('outliers per techniques &amp; human'!H$3:H$42,'outliers per techniques &amp; human'!V127),'outliers per techniques &amp; human'!V127,"")</f>
        <v/>
      </c>
      <c r="J126" t="str">
        <f>IF(COUNTIF('outliers per techniques &amp; human'!I$3:I$21,'outliers per techniques &amp; human'!V127),'outliers per techniques &amp; human'!V127,"")</f>
        <v/>
      </c>
      <c r="K126" t="str">
        <f>IF(COUNTIF('outliers per techniques &amp; human'!J$3:J$47,'outliers per techniques &amp; human'!V127),'outliers per techniques &amp; human'!V127,"")</f>
        <v/>
      </c>
      <c r="L126" t="str">
        <f>IF(COUNTIF('outliers per techniques &amp; human'!K$3:K$78,'outliers per techniques &amp; human'!V127),'outliers per techniques &amp; human'!V127,"")</f>
        <v>duesseldorf</v>
      </c>
      <c r="M126" t="str">
        <f>IF(COUNTIF('outliers per techniques &amp; human'!L$3:L$17,'outliers per techniques &amp; human'!V127),'outliers per techniques &amp; human'!V127,"")</f>
        <v/>
      </c>
      <c r="N126" t="str">
        <f>IF(COUNTIF('outliers per techniques &amp; human'!M$3:M$200,'outliers per techniques &amp; human'!V127),'outliers per techniques &amp; human'!V127,"")</f>
        <v/>
      </c>
      <c r="O126" t="str">
        <f>IF(COUNTIF('outliers per techniques &amp; human'!N$3:N$25,'outliers per techniques &amp; human'!V127),'outliers per techniques &amp; human'!V127,"")</f>
        <v/>
      </c>
      <c r="P126" t="str">
        <f>IF(COUNTIF('outliers per techniques &amp; human'!O$3:O$368,'outliers per techniques &amp; human'!V127),'outliers per techniques &amp; human'!V127,"")</f>
        <v/>
      </c>
    </row>
    <row r="127" spans="2:16" x14ac:dyDescent="0.25">
      <c r="B127" s="4" t="str">
        <f>IF(COUNTIF('outliers per techniques &amp; human'!A$3:A$28,'outliers per techniques &amp; human'!$V128),'outliers per techniques &amp; human'!$V128,"")</f>
        <v/>
      </c>
      <c r="C127" t="str">
        <f>IF(COUNTIF('outliers per techniques &amp; human'!B$3:B$28,'outliers per techniques &amp; human'!V128),'outliers per techniques &amp; human'!V128,"")</f>
        <v/>
      </c>
      <c r="D127" t="str">
        <f>IF(COUNTIF('outliers per techniques &amp; human'!C$3:C$38,'outliers per techniques &amp; human'!V128),'outliers per techniques &amp; human'!V128,"")</f>
        <v/>
      </c>
      <c r="E127" t="str">
        <f>IF(COUNTIF('outliers per techniques &amp; human'!D$3:D$38,'outliers per techniques &amp; human'!V128),'outliers per techniques &amp; human'!V128,"")</f>
        <v/>
      </c>
      <c r="F127" t="str">
        <f>IF(COUNTIF('outliers per techniques &amp; human'!E$3:E$24,'outliers per techniques &amp; human'!V128),'outliers per techniques &amp; human'!V128,"")</f>
        <v/>
      </c>
      <c r="G127" t="str">
        <f>IF(COUNTIF('outliers per techniques &amp; human'!F$3:F$24,'outliers per techniques &amp; human'!V128),'outliers per techniques &amp; human'!V128,"")</f>
        <v/>
      </c>
      <c r="H127" t="str">
        <f>IF(COUNTIF('outliers per techniques &amp; human'!G$3:G$42,'outliers per techniques &amp; human'!V128),'outliers per techniques &amp; human'!V128,"")</f>
        <v/>
      </c>
      <c r="I127" t="str">
        <f>IF(COUNTIF('outliers per techniques &amp; human'!H$3:H$42,'outliers per techniques &amp; human'!V128),'outliers per techniques &amp; human'!V128,"")</f>
        <v/>
      </c>
      <c r="J127" t="str">
        <f>IF(COUNTIF('outliers per techniques &amp; human'!I$3:I$21,'outliers per techniques &amp; human'!V128),'outliers per techniques &amp; human'!V128,"")</f>
        <v/>
      </c>
      <c r="K127" t="str">
        <f>IF(COUNTIF('outliers per techniques &amp; human'!J$3:J$47,'outliers per techniques &amp; human'!V128),'outliers per techniques &amp; human'!V128,"")</f>
        <v/>
      </c>
      <c r="L127" t="str">
        <f>IF(COUNTIF('outliers per techniques &amp; human'!K$3:K$78,'outliers per techniques &amp; human'!V128),'outliers per techniques &amp; human'!V128,"")</f>
        <v/>
      </c>
      <c r="M127" t="str">
        <f>IF(COUNTIF('outliers per techniques &amp; human'!L$3:L$17,'outliers per techniques &amp; human'!V128),'outliers per techniques &amp; human'!V128,"")</f>
        <v/>
      </c>
      <c r="N127" t="str">
        <f>IF(COUNTIF('outliers per techniques &amp; human'!M$3:M$200,'outliers per techniques &amp; human'!V128),'outliers per techniques &amp; human'!V128,"")</f>
        <v/>
      </c>
      <c r="O127" t="str">
        <f>IF(COUNTIF('outliers per techniques &amp; human'!N$3:N$25,'outliers per techniques &amp; human'!V128),'outliers per techniques &amp; human'!V128,"")</f>
        <v/>
      </c>
      <c r="P127" t="str">
        <f>IF(COUNTIF('outliers per techniques &amp; human'!O$3:O$368,'outliers per techniques &amp; human'!V128),'outliers per techniques &amp; human'!V128,"")</f>
        <v>irak</v>
      </c>
    </row>
    <row r="128" spans="2:16" x14ac:dyDescent="0.25">
      <c r="B128" s="4" t="str">
        <f>IF(COUNTIF('outliers per techniques &amp; human'!A$3:A$28,'outliers per techniques &amp; human'!$V129),'outliers per techniques &amp; human'!$V129,"")</f>
        <v/>
      </c>
      <c r="C128" t="str">
        <f>IF(COUNTIF('outliers per techniques &amp; human'!B$3:B$28,'outliers per techniques &amp; human'!V129),'outliers per techniques &amp; human'!V129,"")</f>
        <v/>
      </c>
      <c r="D128" t="str">
        <f>IF(COUNTIF('outliers per techniques &amp; human'!C$3:C$38,'outliers per techniques &amp; human'!V129),'outliers per techniques &amp; human'!V129,"")</f>
        <v/>
      </c>
      <c r="E128" t="str">
        <f>IF(COUNTIF('outliers per techniques &amp; human'!D$3:D$38,'outliers per techniques &amp; human'!V129),'outliers per techniques &amp; human'!V129,"")</f>
        <v/>
      </c>
      <c r="F128" t="str">
        <f>IF(COUNTIF('outliers per techniques &amp; human'!E$3:E$24,'outliers per techniques &amp; human'!V129),'outliers per techniques &amp; human'!V129,"")</f>
        <v/>
      </c>
      <c r="G128" t="str">
        <f>IF(COUNTIF('outliers per techniques &amp; human'!F$3:F$24,'outliers per techniques &amp; human'!V129),'outliers per techniques &amp; human'!V129,"")</f>
        <v/>
      </c>
      <c r="H128" t="str">
        <f>IF(COUNTIF('outliers per techniques &amp; human'!G$3:G$42,'outliers per techniques &amp; human'!V129),'outliers per techniques &amp; human'!V129,"")</f>
        <v/>
      </c>
      <c r="I128" t="str">
        <f>IF(COUNTIF('outliers per techniques &amp; human'!H$3:H$42,'outliers per techniques &amp; human'!V129),'outliers per techniques &amp; human'!V129,"")</f>
        <v/>
      </c>
      <c r="J128" t="str">
        <f>IF(COUNTIF('outliers per techniques &amp; human'!I$3:I$21,'outliers per techniques &amp; human'!V129),'outliers per techniques &amp; human'!V129,"")</f>
        <v/>
      </c>
      <c r="K128" t="str">
        <f>IF(COUNTIF('outliers per techniques &amp; human'!J$3:J$47,'outliers per techniques &amp; human'!V129),'outliers per techniques &amp; human'!V129,"")</f>
        <v/>
      </c>
      <c r="L128" t="str">
        <f>IF(COUNTIF('outliers per techniques &amp; human'!K$3:K$78,'outliers per techniques &amp; human'!V129),'outliers per techniques &amp; human'!V129,"")</f>
        <v/>
      </c>
      <c r="M128" t="str">
        <f>IF(COUNTIF('outliers per techniques &amp; human'!L$3:L$17,'outliers per techniques &amp; human'!V129),'outliers per techniques &amp; human'!V129,"")</f>
        <v/>
      </c>
      <c r="N128" t="str">
        <f>IF(COUNTIF('outliers per techniques &amp; human'!M$3:M$200,'outliers per techniques &amp; human'!V129),'outliers per techniques &amp; human'!V129,"")</f>
        <v>dokumente</v>
      </c>
      <c r="O128" t="str">
        <f>IF(COUNTIF('outliers per techniques &amp; human'!N$3:N$25,'outliers per techniques &amp; human'!V129),'outliers per techniques &amp; human'!V129,"")</f>
        <v/>
      </c>
      <c r="P128" t="str">
        <f>IF(COUNTIF('outliers per techniques &amp; human'!O$3:O$368,'outliers per techniques &amp; human'!V129),'outliers per techniques &amp; human'!V129,"")</f>
        <v/>
      </c>
    </row>
    <row r="129" spans="1:16" x14ac:dyDescent="0.25">
      <c r="B129" s="4" t="str">
        <f>IF(COUNTIF('outliers per techniques &amp; human'!A$3:A$28,'outliers per techniques &amp; human'!$V130),'outliers per techniques &amp; human'!$V130,"")</f>
        <v/>
      </c>
      <c r="C129" t="str">
        <f>IF(COUNTIF('outliers per techniques &amp; human'!B$3:B$28,'outliers per techniques &amp; human'!V130),'outliers per techniques &amp; human'!V130,"")</f>
        <v/>
      </c>
      <c r="D129" t="str">
        <f>IF(COUNTIF('outliers per techniques &amp; human'!C$3:C$38,'outliers per techniques &amp; human'!V130),'outliers per techniques &amp; human'!V130,"")</f>
        <v/>
      </c>
      <c r="E129" t="str">
        <f>IF(COUNTIF('outliers per techniques &amp; human'!D$3:D$38,'outliers per techniques &amp; human'!V130),'outliers per techniques &amp; human'!V130,"")</f>
        <v/>
      </c>
      <c r="F129" t="str">
        <f>IF(COUNTIF('outliers per techniques &amp; human'!E$3:E$24,'outliers per techniques &amp; human'!V130),'outliers per techniques &amp; human'!V130,"")</f>
        <v/>
      </c>
      <c r="G129" t="str">
        <f>IF(COUNTIF('outliers per techniques &amp; human'!F$3:F$24,'outliers per techniques &amp; human'!V130),'outliers per techniques &amp; human'!V130,"")</f>
        <v/>
      </c>
      <c r="H129" t="str">
        <f>IF(COUNTIF('outliers per techniques &amp; human'!G$3:G$42,'outliers per techniques &amp; human'!V130),'outliers per techniques &amp; human'!V130,"")</f>
        <v/>
      </c>
      <c r="I129" t="str">
        <f>IF(COUNTIF('outliers per techniques &amp; human'!H$3:H$42,'outliers per techniques &amp; human'!V130),'outliers per techniques &amp; human'!V130,"")</f>
        <v/>
      </c>
      <c r="J129" t="str">
        <f>IF(COUNTIF('outliers per techniques &amp; human'!I$3:I$21,'outliers per techniques &amp; human'!V130),'outliers per techniques &amp; human'!V130,"")</f>
        <v/>
      </c>
      <c r="K129" t="str">
        <f>IF(COUNTIF('outliers per techniques &amp; human'!J$3:J$47,'outliers per techniques &amp; human'!V130),'outliers per techniques &amp; human'!V130,"")</f>
        <v/>
      </c>
      <c r="L129" t="str">
        <f>IF(COUNTIF('outliers per techniques &amp; human'!K$3:K$78,'outliers per techniques &amp; human'!V130),'outliers per techniques &amp; human'!V130,"")</f>
        <v/>
      </c>
      <c r="M129" t="str">
        <f>IF(COUNTIF('outliers per techniques &amp; human'!L$3:L$17,'outliers per techniques &amp; human'!V130),'outliers per techniques &amp; human'!V130,"")</f>
        <v/>
      </c>
      <c r="N129" t="str">
        <f>IF(COUNTIF('outliers per techniques &amp; human'!M$3:M$200,'outliers per techniques &amp; human'!V130),'outliers per techniques &amp; human'!V130,"")</f>
        <v>peter</v>
      </c>
      <c r="O129" t="str">
        <f>IF(COUNTIF('outliers per techniques &amp; human'!N$3:N$25,'outliers per techniques &amp; human'!V130),'outliers per techniques &amp; human'!V130,"")</f>
        <v/>
      </c>
      <c r="P129" t="str">
        <f>IF(COUNTIF('outliers per techniques &amp; human'!O$3:O$368,'outliers per techniques &amp; human'!V130),'outliers per techniques &amp; human'!V130,"")</f>
        <v/>
      </c>
    </row>
    <row r="130" spans="1:16" x14ac:dyDescent="0.25">
      <c r="B130" s="4" t="str">
        <f>IF(COUNTIF('outliers per techniques &amp; human'!A$3:A$28,'outliers per techniques &amp; human'!$V131),'outliers per techniques &amp; human'!$V131,"")</f>
        <v/>
      </c>
      <c r="C130" t="str">
        <f>IF(COUNTIF('outliers per techniques &amp; human'!B$3:B$28,'outliers per techniques &amp; human'!V131),'outliers per techniques &amp; human'!V131,"")</f>
        <v/>
      </c>
      <c r="D130" t="str">
        <f>IF(COUNTIF('outliers per techniques &amp; human'!C$3:C$38,'outliers per techniques &amp; human'!V131),'outliers per techniques &amp; human'!V131,"")</f>
        <v/>
      </c>
      <c r="E130" t="str">
        <f>IF(COUNTIF('outliers per techniques &amp; human'!D$3:D$38,'outliers per techniques &amp; human'!V131),'outliers per techniques &amp; human'!V131,"")</f>
        <v/>
      </c>
      <c r="F130" t="str">
        <f>IF(COUNTIF('outliers per techniques &amp; human'!E$3:E$24,'outliers per techniques &amp; human'!V131),'outliers per techniques &amp; human'!V131,"")</f>
        <v/>
      </c>
      <c r="G130" t="str">
        <f>IF(COUNTIF('outliers per techniques &amp; human'!F$3:F$24,'outliers per techniques &amp; human'!V131),'outliers per techniques &amp; human'!V131,"")</f>
        <v/>
      </c>
      <c r="H130" t="str">
        <f>IF(COUNTIF('outliers per techniques &amp; human'!G$3:G$42,'outliers per techniques &amp; human'!V131),'outliers per techniques &amp; human'!V131,"")</f>
        <v/>
      </c>
      <c r="I130" t="str">
        <f>IF(COUNTIF('outliers per techniques &amp; human'!H$3:H$42,'outliers per techniques &amp; human'!V131),'outliers per techniques &amp; human'!V131,"")</f>
        <v/>
      </c>
      <c r="J130" t="str">
        <f>IF(COUNTIF('outliers per techniques &amp; human'!I$3:I$21,'outliers per techniques &amp; human'!V131),'outliers per techniques &amp; human'!V131,"")</f>
        <v>2000</v>
      </c>
      <c r="K130" t="str">
        <f>IF(COUNTIF('outliers per techniques &amp; human'!J$3:J$47,'outliers per techniques &amp; human'!V131),'outliers per techniques &amp; human'!V131,"")</f>
        <v>2000</v>
      </c>
      <c r="L130" t="str">
        <f>IF(COUNTIF('outliers per techniques &amp; human'!K$3:K$78,'outliers per techniques &amp; human'!V131),'outliers per techniques &amp; human'!V131,"")</f>
        <v/>
      </c>
      <c r="M130" t="str">
        <f>IF(COUNTIF('outliers per techniques &amp; human'!L$3:L$17,'outliers per techniques &amp; human'!V131),'outliers per techniques &amp; human'!V131,"")</f>
        <v/>
      </c>
      <c r="N130" t="str">
        <f>IF(COUNTIF('outliers per techniques &amp; human'!M$3:M$200,'outliers per techniques &amp; human'!V131),'outliers per techniques &amp; human'!V131,"")</f>
        <v/>
      </c>
      <c r="O130" t="str">
        <f>IF(COUNTIF('outliers per techniques &amp; human'!N$3:N$25,'outliers per techniques &amp; human'!V131),'outliers per techniques &amp; human'!V131,"")</f>
        <v/>
      </c>
      <c r="P130" t="str">
        <f>IF(COUNTIF('outliers per techniques &amp; human'!O$3:O$368,'outliers per techniques &amp; human'!V131),'outliers per techniques &amp; human'!V131,"")</f>
        <v/>
      </c>
    </row>
    <row r="131" spans="1:16" x14ac:dyDescent="0.25">
      <c r="B131" s="4" t="str">
        <f>IF(COUNTIF('outliers per techniques &amp; human'!A$3:A$28,'outliers per techniques &amp; human'!$V132),'outliers per techniques &amp; human'!$V132,"")</f>
        <v/>
      </c>
      <c r="C131" t="str">
        <f>IF(COUNTIF('outliers per techniques &amp; human'!B$3:B$28,'outliers per techniques &amp; human'!V132),'outliers per techniques &amp; human'!V132,"")</f>
        <v/>
      </c>
      <c r="D131" t="str">
        <f>IF(COUNTIF('outliers per techniques &amp; human'!C$3:C$38,'outliers per techniques &amp; human'!V132),'outliers per techniques &amp; human'!V132,"")</f>
        <v/>
      </c>
      <c r="E131" t="str">
        <f>IF(COUNTIF('outliers per techniques &amp; human'!D$3:D$38,'outliers per techniques &amp; human'!V132),'outliers per techniques &amp; human'!V132,"")</f>
        <v/>
      </c>
      <c r="F131" t="str">
        <f>IF(COUNTIF('outliers per techniques &amp; human'!E$3:E$24,'outliers per techniques &amp; human'!V132),'outliers per techniques &amp; human'!V132,"")</f>
        <v/>
      </c>
      <c r="G131" t="str">
        <f>IF(COUNTIF('outliers per techniques &amp; human'!F$3:F$24,'outliers per techniques &amp; human'!V132),'outliers per techniques &amp; human'!V132,"")</f>
        <v/>
      </c>
      <c r="H131" t="str">
        <f>IF(COUNTIF('outliers per techniques &amp; human'!G$3:G$42,'outliers per techniques &amp; human'!V132),'outliers per techniques &amp; human'!V132,"")</f>
        <v>2006</v>
      </c>
      <c r="I131" t="str">
        <f>IF(COUNTIF('outliers per techniques &amp; human'!H$3:H$42,'outliers per techniques &amp; human'!V132),'outliers per techniques &amp; human'!V132,"")</f>
        <v/>
      </c>
      <c r="J131" t="str">
        <f>IF(COUNTIF('outliers per techniques &amp; human'!I$3:I$21,'outliers per techniques &amp; human'!V132),'outliers per techniques &amp; human'!V132,"")</f>
        <v/>
      </c>
      <c r="K131" t="str">
        <f>IF(COUNTIF('outliers per techniques &amp; human'!J$3:J$47,'outliers per techniques &amp; human'!V132),'outliers per techniques &amp; human'!V132,"")</f>
        <v/>
      </c>
      <c r="L131" t="str">
        <f>IF(COUNTIF('outliers per techniques &amp; human'!K$3:K$78,'outliers per techniques &amp; human'!V132),'outliers per techniques &amp; human'!V132,"")</f>
        <v/>
      </c>
      <c r="M131" t="str">
        <f>IF(COUNTIF('outliers per techniques &amp; human'!L$3:L$17,'outliers per techniques &amp; human'!V132),'outliers per techniques &amp; human'!V132,"")</f>
        <v/>
      </c>
      <c r="N131" t="str">
        <f>IF(COUNTIF('outliers per techniques &amp; human'!M$3:M$200,'outliers per techniques &amp; human'!V132),'outliers per techniques &amp; human'!V132,"")</f>
        <v/>
      </c>
      <c r="O131" t="str">
        <f>IF(COUNTIF('outliers per techniques &amp; human'!N$3:N$25,'outliers per techniques &amp; human'!V132),'outliers per techniques &amp; human'!V132,"")</f>
        <v/>
      </c>
      <c r="P131" t="str">
        <f>IF(COUNTIF('outliers per techniques &amp; human'!O$3:O$368,'outliers per techniques &amp; human'!V132),'outliers per techniques &amp; human'!V132,"")</f>
        <v/>
      </c>
    </row>
    <row r="132" spans="1:16" x14ac:dyDescent="0.25">
      <c r="B132" s="4" t="str">
        <f>IF(COUNTIF('outliers per techniques &amp; human'!A$3:A$28,'outliers per techniques &amp; human'!$V133),'outliers per techniques &amp; human'!$V133,"")</f>
        <v/>
      </c>
      <c r="C132" t="str">
        <f>IF(COUNTIF('outliers per techniques &amp; human'!B$3:B$28,'outliers per techniques &amp; human'!V133),'outliers per techniques &amp; human'!V133,"")</f>
        <v/>
      </c>
      <c r="D132" t="str">
        <f>IF(COUNTIF('outliers per techniques &amp; human'!C$3:C$38,'outliers per techniques &amp; human'!V133),'outliers per techniques &amp; human'!V133,"")</f>
        <v/>
      </c>
      <c r="E132" t="str">
        <f>IF(COUNTIF('outliers per techniques &amp; human'!D$3:D$38,'outliers per techniques &amp; human'!V133),'outliers per techniques &amp; human'!V133,"")</f>
        <v/>
      </c>
      <c r="F132" t="str">
        <f>IF(COUNTIF('outliers per techniques &amp; human'!E$3:E$24,'outliers per techniques &amp; human'!V133),'outliers per techniques &amp; human'!V133,"")</f>
        <v/>
      </c>
      <c r="G132" t="str">
        <f>IF(COUNTIF('outliers per techniques &amp; human'!F$3:F$24,'outliers per techniques &amp; human'!V133),'outliers per techniques &amp; human'!V133,"")</f>
        <v/>
      </c>
      <c r="H132" t="str">
        <f>IF(COUNTIF('outliers per techniques &amp; human'!G$3:G$42,'outliers per techniques &amp; human'!V133),'outliers per techniques &amp; human'!V133,"")</f>
        <v/>
      </c>
      <c r="I132" t="str">
        <f>IF(COUNTIF('outliers per techniques &amp; human'!H$3:H$42,'outliers per techniques &amp; human'!V133),'outliers per techniques &amp; human'!V133,"")</f>
        <v/>
      </c>
      <c r="J132" t="str">
        <f>IF(COUNTIF('outliers per techniques &amp; human'!I$3:I$21,'outliers per techniques &amp; human'!V133),'outliers per techniques &amp; human'!V133,"")</f>
        <v/>
      </c>
      <c r="K132" t="str">
        <f>IF(COUNTIF('outliers per techniques &amp; human'!J$3:J$47,'outliers per techniques &amp; human'!V133),'outliers per techniques &amp; human'!V133,"")</f>
        <v/>
      </c>
      <c r="L132" t="str">
        <f>IF(COUNTIF('outliers per techniques &amp; human'!K$3:K$78,'outliers per techniques &amp; human'!V133),'outliers per techniques &amp; human'!V133,"")</f>
        <v/>
      </c>
      <c r="M132" t="str">
        <f>IF(COUNTIF('outliers per techniques &amp; human'!L$3:L$17,'outliers per techniques &amp; human'!V133),'outliers per techniques &amp; human'!V133,"")</f>
        <v/>
      </c>
      <c r="N132" t="str">
        <f>IF(COUNTIF('outliers per techniques &amp; human'!M$3:M$200,'outliers per techniques &amp; human'!V133),'outliers per techniques &amp; human'!V133,"")</f>
        <v/>
      </c>
      <c r="O132" t="str">
        <f>IF(COUNTIF('outliers per techniques &amp; human'!N$3:N$25,'outliers per techniques &amp; human'!V133),'outliers per techniques &amp; human'!V133,"")</f>
        <v/>
      </c>
      <c r="P132" t="str">
        <f>IF(COUNTIF('outliers per techniques &amp; human'!O$3:O$368,'outliers per techniques &amp; human'!V133),'outliers per techniques &amp; human'!V133,"")</f>
        <v>mypaper</v>
      </c>
    </row>
    <row r="133" spans="1:16" x14ac:dyDescent="0.25">
      <c r="B133" s="4" t="str">
        <f>IF(COUNTIF('outliers per techniques &amp; human'!A$3:A$28,'outliers per techniques &amp; human'!$V134),'outliers per techniques &amp; human'!$V134,"")</f>
        <v/>
      </c>
      <c r="C133" t="str">
        <f>IF(COUNTIF('outliers per techniques &amp; human'!B$3:B$28,'outliers per techniques &amp; human'!V134),'outliers per techniques &amp; human'!V134,"")</f>
        <v/>
      </c>
      <c r="D133" t="str">
        <f>IF(COUNTIF('outliers per techniques &amp; human'!C$3:C$38,'outliers per techniques &amp; human'!V134),'outliers per techniques &amp; human'!V134,"")</f>
        <v/>
      </c>
      <c r="E133" t="str">
        <f>IF(COUNTIF('outliers per techniques &amp; human'!D$3:D$38,'outliers per techniques &amp; human'!V134),'outliers per techniques &amp; human'!V134,"")</f>
        <v/>
      </c>
      <c r="F133" t="str">
        <f>IF(COUNTIF('outliers per techniques &amp; human'!E$3:E$24,'outliers per techniques &amp; human'!V134),'outliers per techniques &amp; human'!V134,"")</f>
        <v/>
      </c>
      <c r="G133" t="str">
        <f>IF(COUNTIF('outliers per techniques &amp; human'!F$3:F$24,'outliers per techniques &amp; human'!V134),'outliers per techniques &amp; human'!V134,"")</f>
        <v/>
      </c>
      <c r="H133" t="str">
        <f>IF(COUNTIF('outliers per techniques &amp; human'!G$3:G$42,'outliers per techniques &amp; human'!V134),'outliers per techniques &amp; human'!V134,"")</f>
        <v/>
      </c>
      <c r="I133" t="str">
        <f>IF(COUNTIF('outliers per techniques &amp; human'!H$3:H$42,'outliers per techniques &amp; human'!V134),'outliers per techniques &amp; human'!V134,"")</f>
        <v/>
      </c>
      <c r="J133" t="str">
        <f>IF(COUNTIF('outliers per techniques &amp; human'!I$3:I$21,'outliers per techniques &amp; human'!V134),'outliers per techniques &amp; human'!V134,"")</f>
        <v/>
      </c>
      <c r="K133" t="str">
        <f>IF(COUNTIF('outliers per techniques &amp; human'!J$3:J$47,'outliers per techniques &amp; human'!V134),'outliers per techniques &amp; human'!V134,"")</f>
        <v/>
      </c>
      <c r="L133" t="str">
        <f>IF(COUNTIF('outliers per techniques &amp; human'!K$3:K$78,'outliers per techniques &amp; human'!V134),'outliers per techniques &amp; human'!V134,"")</f>
        <v/>
      </c>
      <c r="M133" t="str">
        <f>IF(COUNTIF('outliers per techniques &amp; human'!L$3:L$17,'outliers per techniques &amp; human'!V134),'outliers per techniques &amp; human'!V134,"")</f>
        <v/>
      </c>
      <c r="N133" t="str">
        <f>IF(COUNTIF('outliers per techniques &amp; human'!M$3:M$200,'outliers per techniques &amp; human'!V134),'outliers per techniques &amp; human'!V134,"")</f>
        <v>pandoc</v>
      </c>
      <c r="O133" t="str">
        <f>IF(COUNTIF('outliers per techniques &amp; human'!N$3:N$25,'outliers per techniques &amp; human'!V134),'outliers per techniques &amp; human'!V134,"")</f>
        <v/>
      </c>
      <c r="P133" t="str">
        <f>IF(COUNTIF('outliers per techniques &amp; human'!O$3:O$368,'outliers per techniques &amp; human'!V134),'outliers per techniques &amp; human'!V134,"")</f>
        <v/>
      </c>
    </row>
    <row r="134" spans="1:16" x14ac:dyDescent="0.25">
      <c r="B134" s="4" t="str">
        <f>IF(COUNTIF('outliers per techniques &amp; human'!A$3:A$28,'outliers per techniques &amp; human'!$V135),'outliers per techniques &amp; human'!$V135,"")</f>
        <v/>
      </c>
      <c r="C134" t="str">
        <f>IF(COUNTIF('outliers per techniques &amp; human'!B$3:B$28,'outliers per techniques &amp; human'!V135),'outliers per techniques &amp; human'!V135,"")</f>
        <v/>
      </c>
      <c r="D134" t="str">
        <f>IF(COUNTIF('outliers per techniques &amp; human'!C$3:C$38,'outliers per techniques &amp; human'!V135),'outliers per techniques &amp; human'!V135,"")</f>
        <v/>
      </c>
      <c r="E134" t="str">
        <f>IF(COUNTIF('outliers per techniques &amp; human'!D$3:D$38,'outliers per techniques &amp; human'!V135),'outliers per techniques &amp; human'!V135,"")</f>
        <v/>
      </c>
      <c r="F134" t="str">
        <f>IF(COUNTIF('outliers per techniques &amp; human'!E$3:E$24,'outliers per techniques &amp; human'!V135),'outliers per techniques &amp; human'!V135,"")</f>
        <v/>
      </c>
      <c r="G134" t="str">
        <f>IF(COUNTIF('outliers per techniques &amp; human'!F$3:F$24,'outliers per techniques &amp; human'!V135),'outliers per techniques &amp; human'!V135,"")</f>
        <v/>
      </c>
      <c r="H134" t="str">
        <f>IF(COUNTIF('outliers per techniques &amp; human'!G$3:G$42,'outliers per techniques &amp; human'!V135),'outliers per techniques &amp; human'!V135,"")</f>
        <v/>
      </c>
      <c r="I134" t="str">
        <f>IF(COUNTIF('outliers per techniques &amp; human'!H$3:H$42,'outliers per techniques &amp; human'!V135),'outliers per techniques &amp; human'!V135,"")</f>
        <v/>
      </c>
      <c r="J134" t="str">
        <f>IF(COUNTIF('outliers per techniques &amp; human'!I$3:I$21,'outliers per techniques &amp; human'!V135),'outliers per techniques &amp; human'!V135,"")</f>
        <v/>
      </c>
      <c r="K134" t="str">
        <f>IF(COUNTIF('outliers per techniques &amp; human'!J$3:J$47,'outliers per techniques &amp; human'!V135),'outliers per techniques &amp; human'!V135,"")</f>
        <v/>
      </c>
      <c r="L134" t="str">
        <f>IF(COUNTIF('outliers per techniques &amp; human'!K$3:K$78,'outliers per techniques &amp; human'!V135),'outliers per techniques &amp; human'!V135,"")</f>
        <v/>
      </c>
      <c r="M134" t="str">
        <f>IF(COUNTIF('outliers per techniques &amp; human'!L$3:L$17,'outliers per techniques &amp; human'!V135),'outliers per techniques &amp; human'!V135,"")</f>
        <v/>
      </c>
      <c r="N134" t="str">
        <f>IF(COUNTIF('outliers per techniques &amp; human'!M$3:M$200,'outliers per techniques &amp; human'!V135),'outliers per techniques &amp; human'!V135,"")</f>
        <v>hoppenstedt</v>
      </c>
      <c r="O134" t="str">
        <f>IF(COUNTIF('outliers per techniques &amp; human'!N$3:N$25,'outliers per techniques &amp; human'!V135),'outliers per techniques &amp; human'!V135,"")</f>
        <v/>
      </c>
      <c r="P134" t="str">
        <f>IF(COUNTIF('outliers per techniques &amp; human'!O$3:O$368,'outliers per techniques &amp; human'!V135),'outliers per techniques &amp; human'!V135,"")</f>
        <v/>
      </c>
    </row>
    <row r="135" spans="1:16" x14ac:dyDescent="0.25">
      <c r="B135" s="4" t="str">
        <f>IF(COUNTIF('outliers per techniques &amp; human'!A$3:A$28,'outliers per techniques &amp; human'!$V136),'outliers per techniques &amp; human'!$V136,"")</f>
        <v/>
      </c>
      <c r="C135" t="str">
        <f>IF(COUNTIF('outliers per techniques &amp; human'!B$3:B$28,'outliers per techniques &amp; human'!V136),'outliers per techniques &amp; human'!V136,"")</f>
        <v/>
      </c>
      <c r="D135" t="str">
        <f>IF(COUNTIF('outliers per techniques &amp; human'!C$3:C$38,'outliers per techniques &amp; human'!V136),'outliers per techniques &amp; human'!V136,"")</f>
        <v/>
      </c>
      <c r="E135" t="str">
        <f>IF(COUNTIF('outliers per techniques &amp; human'!D$3:D$38,'outliers per techniques &amp; human'!V136),'outliers per techniques &amp; human'!V136,"")</f>
        <v/>
      </c>
      <c r="F135" t="str">
        <f>IF(COUNTIF('outliers per techniques &amp; human'!E$3:E$24,'outliers per techniques &amp; human'!V136),'outliers per techniques &amp; human'!V136,"")</f>
        <v/>
      </c>
      <c r="G135" t="str">
        <f>IF(COUNTIF('outliers per techniques &amp; human'!F$3:F$24,'outliers per techniques &amp; human'!V136),'outliers per techniques &amp; human'!V136,"")</f>
        <v/>
      </c>
      <c r="H135" t="str">
        <f>IF(COUNTIF('outliers per techniques &amp; human'!G$3:G$42,'outliers per techniques &amp; human'!V136),'outliers per techniques &amp; human'!V136,"")</f>
        <v/>
      </c>
      <c r="I135" t="str">
        <f>IF(COUNTIF('outliers per techniques &amp; human'!H$3:H$42,'outliers per techniques &amp; human'!V136),'outliers per techniques &amp; human'!V136,"")</f>
        <v/>
      </c>
      <c r="J135" t="str">
        <f>IF(COUNTIF('outliers per techniques &amp; human'!I$3:I$21,'outliers per techniques &amp; human'!V136),'outliers per techniques &amp; human'!V136,"")</f>
        <v/>
      </c>
      <c r="K135" t="str">
        <f>IF(COUNTIF('outliers per techniques &amp; human'!J$3:J$47,'outliers per techniques &amp; human'!V136),'outliers per techniques &amp; human'!V136,"")</f>
        <v/>
      </c>
      <c r="L135" t="str">
        <f>IF(COUNTIF('outliers per techniques &amp; human'!K$3:K$78,'outliers per techniques &amp; human'!V136),'outliers per techniques &amp; human'!V136,"")</f>
        <v/>
      </c>
      <c r="M135" t="str">
        <f>IF(COUNTIF('outliers per techniques &amp; human'!L$3:L$17,'outliers per techniques &amp; human'!V136),'outliers per techniques &amp; human'!V136,"")</f>
        <v/>
      </c>
      <c r="N135" t="str">
        <f>IF(COUNTIF('outliers per techniques &amp; human'!M$3:M$200,'outliers per techniques &amp; human'!V136),'outliers per techniques &amp; human'!V136,"")</f>
        <v>nicholas</v>
      </c>
      <c r="O135" t="str">
        <f>IF(COUNTIF('outliers per techniques &amp; human'!N$3:N$25,'outliers per techniques &amp; human'!V136),'outliers per techniques &amp; human'!V136,"")</f>
        <v/>
      </c>
      <c r="P135" t="str">
        <f>IF(COUNTIF('outliers per techniques &amp; human'!O$3:O$368,'outliers per techniques &amp; human'!V136),'outliers per techniques &amp; human'!V136,"")</f>
        <v/>
      </c>
    </row>
    <row r="136" spans="1:16" x14ac:dyDescent="0.25">
      <c r="B136" s="4" t="str">
        <f>IF(COUNTIF('outliers per techniques &amp; human'!A$3:A$28,'outliers per techniques &amp; human'!$V137),'outliers per techniques &amp; human'!$V137,"")</f>
        <v/>
      </c>
      <c r="C136" t="str">
        <f>IF(COUNTIF('outliers per techniques &amp; human'!B$3:B$28,'outliers per techniques &amp; human'!V137),'outliers per techniques &amp; human'!V137,"")</f>
        <v>objektorientierung</v>
      </c>
      <c r="D136" t="str">
        <f>IF(COUNTIF('outliers per techniques &amp; human'!C$3:C$38,'outliers per techniques &amp; human'!V137),'outliers per techniques &amp; human'!V137,"")</f>
        <v/>
      </c>
      <c r="E136" t="str">
        <f>IF(COUNTIF('outliers per techniques &amp; human'!D$3:D$38,'outliers per techniques &amp; human'!V137),'outliers per techniques &amp; human'!V137,"")</f>
        <v/>
      </c>
      <c r="F136" t="str">
        <f>IF(COUNTIF('outliers per techniques &amp; human'!E$3:E$24,'outliers per techniques &amp; human'!V137),'outliers per techniques &amp; human'!V137,"")</f>
        <v/>
      </c>
      <c r="G136" t="str">
        <f>IF(COUNTIF('outliers per techniques &amp; human'!F$3:F$24,'outliers per techniques &amp; human'!V137),'outliers per techniques &amp; human'!V137,"")</f>
        <v/>
      </c>
      <c r="H136" t="str">
        <f>IF(COUNTIF('outliers per techniques &amp; human'!G$3:G$42,'outliers per techniques &amp; human'!V137),'outliers per techniques &amp; human'!V137,"")</f>
        <v/>
      </c>
      <c r="I136" t="str">
        <f>IF(COUNTIF('outliers per techniques &amp; human'!H$3:H$42,'outliers per techniques &amp; human'!V137),'outliers per techniques &amp; human'!V137,"")</f>
        <v/>
      </c>
      <c r="J136" t="str">
        <f>IF(COUNTIF('outliers per techniques &amp; human'!I$3:I$21,'outliers per techniques &amp; human'!V137),'outliers per techniques &amp; human'!V137,"")</f>
        <v/>
      </c>
      <c r="K136" t="str">
        <f>IF(COUNTIF('outliers per techniques &amp; human'!J$3:J$47,'outliers per techniques &amp; human'!V137),'outliers per techniques &amp; human'!V137,"")</f>
        <v/>
      </c>
      <c r="L136" t="str">
        <f>IF(COUNTIF('outliers per techniques &amp; human'!K$3:K$78,'outliers per techniques &amp; human'!V137),'outliers per techniques &amp; human'!V137,"")</f>
        <v/>
      </c>
      <c r="M136" t="str">
        <f>IF(COUNTIF('outliers per techniques &amp; human'!L$3:L$17,'outliers per techniques &amp; human'!V137),'outliers per techniques &amp; human'!V137,"")</f>
        <v/>
      </c>
      <c r="N136" t="str">
        <f>IF(COUNTIF('outliers per techniques &amp; human'!M$3:M$200,'outliers per techniques &amp; human'!V137),'outliers per techniques &amp; human'!V137,"")</f>
        <v/>
      </c>
      <c r="O136" t="str">
        <f>IF(COUNTIF('outliers per techniques &amp; human'!N$3:N$25,'outliers per techniques &amp; human'!V137),'outliers per techniques &amp; human'!V137,"")</f>
        <v/>
      </c>
      <c r="P136" t="str">
        <f>IF(COUNTIF('outliers per techniques &amp; human'!O$3:O$368,'outliers per techniques &amp; human'!V137),'outliers per techniques &amp; human'!V137,"")</f>
        <v/>
      </c>
    </row>
    <row r="137" spans="1:16" x14ac:dyDescent="0.25">
      <c r="B137" s="4" t="str">
        <f>IF(COUNTIF('outliers per techniques &amp; human'!A$3:A$28,'outliers per techniques &amp; human'!$V138),'outliers per techniques &amp; human'!$V138,"")</f>
        <v/>
      </c>
      <c r="C137" t="str">
        <f>IF(COUNTIF('outliers per techniques &amp; human'!B$3:B$28,'outliers per techniques &amp; human'!V138),'outliers per techniques &amp; human'!V138,"")</f>
        <v/>
      </c>
      <c r="D137" t="str">
        <f>IF(COUNTIF('outliers per techniques &amp; human'!C$3:C$38,'outliers per techniques &amp; human'!V138),'outliers per techniques &amp; human'!V138,"")</f>
        <v/>
      </c>
      <c r="E137" t="str">
        <f>IF(COUNTIF('outliers per techniques &amp; human'!D$3:D$38,'outliers per techniques &amp; human'!V138),'outliers per techniques &amp; human'!V138,"")</f>
        <v/>
      </c>
      <c r="F137" t="str">
        <f>IF(COUNTIF('outliers per techniques &amp; human'!E$3:E$24,'outliers per techniques &amp; human'!V138),'outliers per techniques &amp; human'!V138,"")</f>
        <v/>
      </c>
      <c r="G137" t="str">
        <f>IF(COUNTIF('outliers per techniques &amp; human'!F$3:F$24,'outliers per techniques &amp; human'!V138),'outliers per techniques &amp; human'!V138,"")</f>
        <v/>
      </c>
      <c r="H137" t="str">
        <f>IF(COUNTIF('outliers per techniques &amp; human'!G$3:G$42,'outliers per techniques &amp; human'!V138),'outliers per techniques &amp; human'!V138,"")</f>
        <v/>
      </c>
      <c r="I137" t="str">
        <f>IF(COUNTIF('outliers per techniques &amp; human'!H$3:H$42,'outliers per techniques &amp; human'!V138),'outliers per techniques &amp; human'!V138,"")</f>
        <v>becker</v>
      </c>
      <c r="J137" t="str">
        <f>IF(COUNTIF('outliers per techniques &amp; human'!I$3:I$21,'outliers per techniques &amp; human'!V138),'outliers per techniques &amp; human'!V138,"")</f>
        <v/>
      </c>
      <c r="K137" t="str">
        <f>IF(COUNTIF('outliers per techniques &amp; human'!J$3:J$47,'outliers per techniques &amp; human'!V138),'outliers per techniques &amp; human'!V138,"")</f>
        <v/>
      </c>
      <c r="L137" t="str">
        <f>IF(COUNTIF('outliers per techniques &amp; human'!K$3:K$78,'outliers per techniques &amp; human'!V138),'outliers per techniques &amp; human'!V138,"")</f>
        <v/>
      </c>
      <c r="M137" t="str">
        <f>IF(COUNTIF('outliers per techniques &amp; human'!L$3:L$17,'outliers per techniques &amp; human'!V138),'outliers per techniques &amp; human'!V138,"")</f>
        <v/>
      </c>
      <c r="N137" t="str">
        <f>IF(COUNTIF('outliers per techniques &amp; human'!M$3:M$200,'outliers per techniques &amp; human'!V138),'outliers per techniques &amp; human'!V138,"")</f>
        <v/>
      </c>
      <c r="O137" t="str">
        <f>IF(COUNTIF('outliers per techniques &amp; human'!N$3:N$25,'outliers per techniques &amp; human'!V138),'outliers per techniques &amp; human'!V138,"")</f>
        <v/>
      </c>
      <c r="P137" t="str">
        <f>IF(COUNTIF('outliers per techniques &amp; human'!O$3:O$368,'outliers per techniques &amp; human'!V138),'outliers per techniques &amp; human'!V138,"")</f>
        <v/>
      </c>
    </row>
    <row r="138" spans="1:16" x14ac:dyDescent="0.25">
      <c r="B138" s="4" t="str">
        <f>IF(COUNTIF('outliers per techniques &amp; human'!A$3:A$28,'outliers per techniques &amp; human'!$V139),'outliers per techniques &amp; human'!$V139,"")</f>
        <v/>
      </c>
      <c r="C138" t="str">
        <f>IF(COUNTIF('outliers per techniques &amp; human'!B$3:B$28,'outliers per techniques &amp; human'!V139),'outliers per techniques &amp; human'!V139,"")</f>
        <v/>
      </c>
      <c r="D138" t="str">
        <f>IF(COUNTIF('outliers per techniques &amp; human'!C$3:C$38,'outliers per techniques &amp; human'!V139),'outliers per techniques &amp; human'!V139,"")</f>
        <v/>
      </c>
      <c r="E138" t="str">
        <f>IF(COUNTIF('outliers per techniques &amp; human'!D$3:D$38,'outliers per techniques &amp; human'!V139),'outliers per techniques &amp; human'!V139,"")</f>
        <v/>
      </c>
      <c r="F138" t="str">
        <f>IF(COUNTIF('outliers per techniques &amp; human'!E$3:E$24,'outliers per techniques &amp; human'!V139),'outliers per techniques &amp; human'!V139,"")</f>
        <v/>
      </c>
      <c r="G138" t="str">
        <f>IF(COUNTIF('outliers per techniques &amp; human'!F$3:F$24,'outliers per techniques &amp; human'!V139),'outliers per techniques &amp; human'!V139,"")</f>
        <v/>
      </c>
      <c r="H138" t="str">
        <f>IF(COUNTIF('outliers per techniques &amp; human'!G$3:G$42,'outliers per techniques &amp; human'!V139),'outliers per techniques &amp; human'!V139,"")</f>
        <v/>
      </c>
      <c r="I138" t="str">
        <f>IF(COUNTIF('outliers per techniques &amp; human'!H$3:H$42,'outliers per techniques &amp; human'!V139),'outliers per techniques &amp; human'!V139,"")</f>
        <v/>
      </c>
      <c r="J138" t="str">
        <f>IF(COUNTIF('outliers per techniques &amp; human'!I$3:I$21,'outliers per techniques &amp; human'!V139),'outliers per techniques &amp; human'!V139,"")</f>
        <v/>
      </c>
      <c r="K138" t="str">
        <f>IF(COUNTIF('outliers per techniques &amp; human'!J$3:J$47,'outliers per techniques &amp; human'!V139),'outliers per techniques &amp; human'!V139,"")</f>
        <v/>
      </c>
      <c r="L138" t="str">
        <f>IF(COUNTIF('outliers per techniques &amp; human'!K$3:K$78,'outliers per techniques &amp; human'!V139),'outliers per techniques &amp; human'!V139,"")</f>
        <v/>
      </c>
      <c r="M138" t="str">
        <f>IF(COUNTIF('outliers per techniques &amp; human'!L$3:L$17,'outliers per techniques &amp; human'!V139),'outliers per techniques &amp; human'!V139,"")</f>
        <v/>
      </c>
      <c r="N138" t="str">
        <f>IF(COUNTIF('outliers per techniques &amp; human'!M$3:M$200,'outliers per techniques &amp; human'!V139),'outliers per techniques &amp; human'!V139,"")</f>
        <v>james</v>
      </c>
      <c r="O138" t="str">
        <f>IF(COUNTIF('outliers per techniques &amp; human'!N$3:N$25,'outliers per techniques &amp; human'!V139),'outliers per techniques &amp; human'!V139,"")</f>
        <v/>
      </c>
      <c r="P138" t="str">
        <f>IF(COUNTIF('outliers per techniques &amp; human'!O$3:O$368,'outliers per techniques &amp; human'!V139),'outliers per techniques &amp; human'!V139,"")</f>
        <v/>
      </c>
    </row>
    <row r="139" spans="1:16" x14ac:dyDescent="0.25">
      <c r="A139" s="8" t="s">
        <v>788</v>
      </c>
      <c r="B139" s="9">
        <f>137-COUNTBLANK(B2:B138)</f>
        <v>5</v>
      </c>
      <c r="C139" s="7">
        <f t="shared" ref="C139:P139" si="0">137-COUNTBLANK(C2:C138)</f>
        <v>6</v>
      </c>
      <c r="D139" s="7">
        <f t="shared" si="0"/>
        <v>7</v>
      </c>
      <c r="E139" s="7">
        <f t="shared" si="0"/>
        <v>5</v>
      </c>
      <c r="F139" s="7">
        <f t="shared" si="0"/>
        <v>5</v>
      </c>
      <c r="G139" s="7">
        <f t="shared" si="0"/>
        <v>2</v>
      </c>
      <c r="H139" s="7">
        <f t="shared" si="0"/>
        <v>7</v>
      </c>
      <c r="I139" s="7">
        <f t="shared" si="0"/>
        <v>5</v>
      </c>
      <c r="J139" s="7">
        <f t="shared" si="0"/>
        <v>6</v>
      </c>
      <c r="K139" s="7">
        <f t="shared" si="0"/>
        <v>7</v>
      </c>
      <c r="L139" s="7">
        <f t="shared" si="0"/>
        <v>12</v>
      </c>
      <c r="M139" s="7">
        <f t="shared" si="0"/>
        <v>7</v>
      </c>
      <c r="N139" s="7">
        <f t="shared" si="0"/>
        <v>64</v>
      </c>
      <c r="O139" s="7">
        <f t="shared" si="0"/>
        <v>7</v>
      </c>
      <c r="P139" s="7">
        <f t="shared" si="0"/>
        <v>48</v>
      </c>
    </row>
    <row r="140" spans="1:16" x14ac:dyDescent="0.25">
      <c r="A140" s="5" t="s">
        <v>789</v>
      </c>
      <c r="B140" s="4">
        <f>B139/26</f>
        <v>0.19230769230769232</v>
      </c>
      <c r="C140" s="1">
        <f>C139/26</f>
        <v>0.23076923076923078</v>
      </c>
      <c r="D140" s="1">
        <f>D139/36</f>
        <v>0.19444444444444445</v>
      </c>
      <c r="E140" s="1">
        <f>E139/36</f>
        <v>0.1388888888888889</v>
      </c>
      <c r="F140" s="1">
        <f>F139/22</f>
        <v>0.22727272727272727</v>
      </c>
      <c r="G140" s="1">
        <f>G139/22</f>
        <v>9.0909090909090912E-2</v>
      </c>
      <c r="H140" s="1">
        <f>H139/40</f>
        <v>0.17499999999999999</v>
      </c>
      <c r="I140" s="1">
        <f>I139/40</f>
        <v>0.125</v>
      </c>
      <c r="J140" s="1">
        <f>J139/19</f>
        <v>0.31578947368421051</v>
      </c>
      <c r="K140" s="1">
        <f>K139/45</f>
        <v>0.15555555555555556</v>
      </c>
      <c r="L140" s="1">
        <f>L139/76</f>
        <v>0.15789473684210525</v>
      </c>
      <c r="M140" s="1">
        <f>M139/15</f>
        <v>0.46666666666666667</v>
      </c>
      <c r="N140" s="1">
        <f>N139/198</f>
        <v>0.32323232323232326</v>
      </c>
      <c r="O140" s="1">
        <f>O139/23</f>
        <v>0.30434782608695654</v>
      </c>
      <c r="P140" s="1">
        <f>P139/366</f>
        <v>0.13114754098360656</v>
      </c>
    </row>
    <row r="141" spans="1:16" x14ac:dyDescent="0.25">
      <c r="A141" s="5" t="s">
        <v>787</v>
      </c>
      <c r="B141" s="4">
        <f>B139/137</f>
        <v>3.6496350364963501E-2</v>
      </c>
      <c r="C141" s="1">
        <f t="shared" ref="C141:P141" si="1">C139/137</f>
        <v>4.3795620437956206E-2</v>
      </c>
      <c r="D141" s="1">
        <f t="shared" si="1"/>
        <v>5.1094890510948905E-2</v>
      </c>
      <c r="E141" s="1">
        <f t="shared" si="1"/>
        <v>3.6496350364963501E-2</v>
      </c>
      <c r="F141" s="1">
        <f t="shared" si="1"/>
        <v>3.6496350364963501E-2</v>
      </c>
      <c r="G141" s="1">
        <f t="shared" si="1"/>
        <v>1.4598540145985401E-2</v>
      </c>
      <c r="H141" s="1">
        <f t="shared" si="1"/>
        <v>5.1094890510948905E-2</v>
      </c>
      <c r="I141" s="1">
        <f t="shared" si="1"/>
        <v>3.6496350364963501E-2</v>
      </c>
      <c r="J141" s="1">
        <f t="shared" si="1"/>
        <v>4.3795620437956206E-2</v>
      </c>
      <c r="K141" s="1">
        <f t="shared" si="1"/>
        <v>5.1094890510948905E-2</v>
      </c>
      <c r="L141" s="1">
        <f t="shared" si="1"/>
        <v>8.7591240875912413E-2</v>
      </c>
      <c r="M141" s="1">
        <f t="shared" si="1"/>
        <v>5.1094890510948905E-2</v>
      </c>
      <c r="N141" s="1">
        <f t="shared" si="1"/>
        <v>0.46715328467153283</v>
      </c>
      <c r="O141" s="1">
        <f t="shared" si="1"/>
        <v>5.1094890510948905E-2</v>
      </c>
      <c r="P141" s="1">
        <f t="shared" si="1"/>
        <v>0.35036496350364965</v>
      </c>
    </row>
    <row r="142" spans="1:16" x14ac:dyDescent="0.25">
      <c r="A142" s="5" t="s">
        <v>790</v>
      </c>
      <c r="B142" s="4">
        <f>2*B140*B141/(B140+B141)</f>
        <v>6.1349693251533742E-2</v>
      </c>
      <c r="C142" s="1">
        <f t="shared" ref="C142:P142" si="2">2*C140*C141/(C140+C141)</f>
        <v>7.3619631901840496E-2</v>
      </c>
      <c r="D142" s="1">
        <f t="shared" si="2"/>
        <v>8.0924855491329481E-2</v>
      </c>
      <c r="E142" s="1">
        <f t="shared" si="2"/>
        <v>5.7803468208092477E-2</v>
      </c>
      <c r="F142" s="1">
        <f t="shared" si="2"/>
        <v>6.2893081761006289E-2</v>
      </c>
      <c r="G142" s="1">
        <f t="shared" si="2"/>
        <v>2.5157232704402517E-2</v>
      </c>
      <c r="H142" s="1">
        <f t="shared" si="2"/>
        <v>7.9096045197740106E-2</v>
      </c>
      <c r="I142" s="1">
        <f t="shared" si="2"/>
        <v>5.6497175141242931E-2</v>
      </c>
      <c r="J142" s="1">
        <f t="shared" si="2"/>
        <v>7.6923076923076927E-2</v>
      </c>
      <c r="K142" s="1">
        <f t="shared" si="2"/>
        <v>7.6923076923076913E-2</v>
      </c>
      <c r="L142" s="1">
        <f t="shared" si="2"/>
        <v>0.11267605633802817</v>
      </c>
      <c r="M142" s="1">
        <f t="shared" si="2"/>
        <v>9.2105263157894732E-2</v>
      </c>
      <c r="N142" s="1">
        <f t="shared" si="2"/>
        <v>0.38208955223880597</v>
      </c>
      <c r="O142" s="1">
        <f t="shared" si="2"/>
        <v>8.7499999999999994E-2</v>
      </c>
      <c r="P142" s="1">
        <f t="shared" si="2"/>
        <v>0.19085487077534791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6"/>
  <sheetViews>
    <sheetView topLeftCell="A61" zoomScaleNormal="100" workbookViewId="0">
      <selection activeCell="H4" sqref="H4"/>
    </sheetView>
  </sheetViews>
  <sheetFormatPr defaultRowHeight="15" x14ac:dyDescent="0.25"/>
  <sheetData>
    <row r="1" spans="2:16" ht="15" customHeight="1" x14ac:dyDescent="0.25">
      <c r="B1" s="15" t="s">
        <v>800</v>
      </c>
      <c r="C1" s="15" t="s">
        <v>801</v>
      </c>
      <c r="D1" s="15" t="s">
        <v>802</v>
      </c>
      <c r="E1" s="15" t="s">
        <v>803</v>
      </c>
      <c r="F1" s="15" t="s">
        <v>804</v>
      </c>
      <c r="G1" s="15" t="s">
        <v>805</v>
      </c>
      <c r="H1" s="15" t="s">
        <v>806</v>
      </c>
      <c r="I1" s="15" t="s">
        <v>807</v>
      </c>
      <c r="J1" s="15" t="s">
        <v>795</v>
      </c>
      <c r="K1" s="15" t="s">
        <v>796</v>
      </c>
      <c r="L1" s="15" t="s">
        <v>797</v>
      </c>
      <c r="M1" s="15" t="s">
        <v>798</v>
      </c>
      <c r="N1" s="15" t="s">
        <v>799</v>
      </c>
      <c r="O1" s="15" t="s">
        <v>808</v>
      </c>
      <c r="P1" s="16" t="s">
        <v>809</v>
      </c>
    </row>
    <row r="2" spans="2:16" x14ac:dyDescent="0.25">
      <c r="B2" s="4" t="str">
        <f>IF(COUNTIF('outliers per techniques &amp; human'!A$3:A$28,'outliers per techniques &amp; human'!$W3),'outliers per techniques &amp; human'!$W3,"")</f>
        <v/>
      </c>
      <c r="C2" t="str">
        <f>IF(COUNTIF('outliers per techniques &amp; human'!B$3:B$28,'outliers per techniques &amp; human'!W3),'outliers per techniques &amp; human'!W3,"")</f>
        <v/>
      </c>
      <c r="D2" t="str">
        <f>IF(COUNTIF('outliers per techniques &amp; human'!C$3:C$38,'outliers per techniques &amp; human'!W3),'outliers per techniques &amp; human'!W3,"")</f>
        <v/>
      </c>
      <c r="E2" t="str">
        <f>IF(COUNTIF('outliers per techniques &amp; human'!D$3:D$38,'outliers per techniques &amp; human'!W3),'outliers per techniques &amp; human'!W3,"")</f>
        <v/>
      </c>
      <c r="F2" t="str">
        <f>IF(COUNTIF('outliers per techniques &amp; human'!E$3:E$24,'outliers per techniques &amp; human'!W3),'outliers per techniques &amp; human'!W3,"")</f>
        <v/>
      </c>
      <c r="G2" t="str">
        <f>IF(COUNTIF('outliers per techniques &amp; human'!F$3:F$24,'outliers per techniques &amp; human'!W3),'outliers per techniques &amp; human'!W3,"")</f>
        <v/>
      </c>
      <c r="H2" t="str">
        <f>IF(COUNTIF('outliers per techniques &amp; human'!G$3:G$42,'outliers per techniques &amp; human'!W3),'outliers per techniques &amp; human'!W3,"")</f>
        <v/>
      </c>
      <c r="I2" t="str">
        <f>IF(COUNTIF('outliers per techniques &amp; human'!H$3:H$42,'outliers per techniques &amp; human'!W3),'outliers per techniques &amp; human'!W3,"")</f>
        <v/>
      </c>
      <c r="J2" t="str">
        <f>IF(COUNTIF('outliers per techniques &amp; human'!I$3:I$21,'outliers per techniques &amp; human'!W3),'outliers per techniques &amp; human'!W3,"")</f>
        <v/>
      </c>
      <c r="K2" t="str">
        <f>IF(COUNTIF('outliers per techniques &amp; human'!J$3:J$47,'outliers per techniques &amp; human'!W3),'outliers per techniques &amp; human'!W3,"")</f>
        <v/>
      </c>
      <c r="L2" t="str">
        <f>IF(COUNTIF('outliers per techniques &amp; human'!K$3:K$78,'outliers per techniques &amp; human'!W3),'outliers per techniques &amp; human'!W3,"")</f>
        <v>ht09</v>
      </c>
      <c r="M2" t="str">
        <f>IF(COUNTIF('outliers per techniques &amp; human'!L$3:L$17,'outliers per techniques &amp; human'!W3),'outliers per techniques &amp; human'!W3,"")</f>
        <v/>
      </c>
      <c r="N2" t="str">
        <f>IF(COUNTIF('outliers per techniques &amp; human'!M$3:M$200,'outliers per techniques &amp; human'!W3),'outliers per techniques &amp; human'!W3,"")</f>
        <v/>
      </c>
      <c r="O2" t="str">
        <f>IF(COUNTIF('outliers per techniques &amp; human'!N$3:N$25,'outliers per techniques &amp; human'!W3),'outliers per techniques &amp; human'!W3,"")</f>
        <v/>
      </c>
      <c r="P2" t="str">
        <f>IF(COUNTIF('outliers per techniques &amp; human'!O$3:O$368,'outliers per techniques &amp; human'!W3),'outliers per techniques &amp; human'!W3,"")</f>
        <v/>
      </c>
    </row>
    <row r="3" spans="2:16" x14ac:dyDescent="0.25">
      <c r="B3" s="4" t="str">
        <f>IF(COUNTIF('outliers per techniques &amp; human'!A$3:A$28,'outliers per techniques &amp; human'!$W4),'outliers per techniques &amp; human'!$W4,"")</f>
        <v/>
      </c>
      <c r="C3" t="str">
        <f>IF(COUNTIF('outliers per techniques &amp; human'!B$3:B$28,'outliers per techniques &amp; human'!W4),'outliers per techniques &amp; human'!W4,"")</f>
        <v/>
      </c>
      <c r="D3" t="str">
        <f>IF(COUNTIF('outliers per techniques &amp; human'!C$3:C$38,'outliers per techniques &amp; human'!W4),'outliers per techniques &amp; human'!W4,"")</f>
        <v/>
      </c>
      <c r="E3" t="str">
        <f>IF(COUNTIF('outliers per techniques &amp; human'!D$3:D$38,'outliers per techniques &amp; human'!W4),'outliers per techniques &amp; human'!W4,"")</f>
        <v/>
      </c>
      <c r="F3" t="str">
        <f>IF(COUNTIF('outliers per techniques &amp; human'!E$3:E$24,'outliers per techniques &amp; human'!W4),'outliers per techniques &amp; human'!W4,"")</f>
        <v/>
      </c>
      <c r="G3" t="str">
        <f>IF(COUNTIF('outliers per techniques &amp; human'!F$3:F$24,'outliers per techniques &amp; human'!W4),'outliers per techniques &amp; human'!W4,"")</f>
        <v/>
      </c>
      <c r="H3" t="str">
        <f>IF(COUNTIF('outliers per techniques &amp; human'!G$3:G$42,'outliers per techniques &amp; human'!W4),'outliers per techniques &amp; human'!W4,"")</f>
        <v/>
      </c>
      <c r="I3" t="str">
        <f>IF(COUNTIF('outliers per techniques &amp; human'!H$3:H$42,'outliers per techniques &amp; human'!W4),'outliers per techniques &amp; human'!W4,"")</f>
        <v/>
      </c>
      <c r="J3" t="str">
        <f>IF(COUNTIF('outliers per techniques &amp; human'!I$3:I$21,'outliers per techniques &amp; human'!W4),'outliers per techniques &amp; human'!W4,"")</f>
        <v/>
      </c>
      <c r="K3" t="str">
        <f>IF(COUNTIF('outliers per techniques &amp; human'!J$3:J$47,'outliers per techniques &amp; human'!W4),'outliers per techniques &amp; human'!W4,"")</f>
        <v/>
      </c>
      <c r="L3" t="str">
        <f>IF(COUNTIF('outliers per techniques &amp; human'!K$3:K$78,'outliers per techniques &amp; human'!W4),'outliers per techniques &amp; human'!W4,"")</f>
        <v/>
      </c>
      <c r="M3" t="str">
        <f>IF(COUNTIF('outliers per techniques &amp; human'!L$3:L$17,'outliers per techniques &amp; human'!W4),'outliers per techniques &amp; human'!W4,"")</f>
        <v/>
      </c>
      <c r="N3" t="str">
        <f>IF(COUNTIF('outliers per techniques &amp; human'!M$3:M$200,'outliers per techniques &amp; human'!W4),'outliers per techniques &amp; human'!W4,"")</f>
        <v/>
      </c>
      <c r="O3" t="str">
        <f>IF(COUNTIF('outliers per techniques &amp; human'!N$3:N$25,'outliers per techniques &amp; human'!W4),'outliers per techniques &amp; human'!W4,"")</f>
        <v/>
      </c>
      <c r="P3" t="str">
        <f>IF(COUNTIF('outliers per techniques &amp; human'!O$3:O$368,'outliers per techniques &amp; human'!W4),'outliers per techniques &amp; human'!W4,"")</f>
        <v>w</v>
      </c>
    </row>
    <row r="4" spans="2:16" x14ac:dyDescent="0.25">
      <c r="B4" s="4" t="str">
        <f>IF(COUNTIF('outliers per techniques &amp; human'!A$3:A$28,'outliers per techniques &amp; human'!$W5),'outliers per techniques &amp; human'!$W5,"")</f>
        <v/>
      </c>
      <c r="C4" t="str">
        <f>IF(COUNTIF('outliers per techniques &amp; human'!B$3:B$28,'outliers per techniques &amp; human'!W5),'outliers per techniques &amp; human'!W5,"")</f>
        <v/>
      </c>
      <c r="D4" t="str">
        <f>IF(COUNTIF('outliers per techniques &amp; human'!C$3:C$38,'outliers per techniques &amp; human'!W5),'outliers per techniques &amp; human'!W5,"")</f>
        <v/>
      </c>
      <c r="E4" t="str">
        <f>IF(COUNTIF('outliers per techniques &amp; human'!D$3:D$38,'outliers per techniques &amp; human'!W5),'outliers per techniques &amp; human'!W5,"")</f>
        <v/>
      </c>
      <c r="F4" t="str">
        <f>IF(COUNTIF('outliers per techniques &amp; human'!E$3:E$24,'outliers per techniques &amp; human'!W5),'outliers per techniques &amp; human'!W5,"")</f>
        <v/>
      </c>
      <c r="G4" t="str">
        <f>IF(COUNTIF('outliers per techniques &amp; human'!F$3:F$24,'outliers per techniques &amp; human'!W5),'outliers per techniques &amp; human'!W5,"")</f>
        <v/>
      </c>
      <c r="H4" t="str">
        <f>IF(COUNTIF('outliers per techniques &amp; human'!G$3:G$42,'outliers per techniques &amp; human'!W5),'outliers per techniques &amp; human'!W5,"")</f>
        <v/>
      </c>
      <c r="I4" t="str">
        <f>IF(COUNTIF('outliers per techniques &amp; human'!H$3:H$42,'outliers per techniques &amp; human'!W5),'outliers per techniques &amp; human'!W5,"")</f>
        <v/>
      </c>
      <c r="J4" t="str">
        <f>IF(COUNTIF('outliers per techniques &amp; human'!I$3:I$21,'outliers per techniques &amp; human'!W5),'outliers per techniques &amp; human'!W5,"")</f>
        <v/>
      </c>
      <c r="K4" t="str">
        <f>IF(COUNTIF('outliers per techniques &amp; human'!J$3:J$47,'outliers per techniques &amp; human'!W5),'outliers per techniques &amp; human'!W5,"")</f>
        <v/>
      </c>
      <c r="L4" t="str">
        <f>IF(COUNTIF('outliers per techniques &amp; human'!K$3:K$78,'outliers per techniques &amp; human'!W5),'outliers per techniques &amp; human'!W5,"")</f>
        <v/>
      </c>
      <c r="M4" t="str">
        <f>IF(COUNTIF('outliers per techniques &amp; human'!L$3:L$17,'outliers per techniques &amp; human'!W5),'outliers per techniques &amp; human'!W5,"")</f>
        <v/>
      </c>
      <c r="N4" t="str">
        <f>IF(COUNTIF('outliers per techniques &amp; human'!M$3:M$200,'outliers per techniques &amp; human'!W5),'outliers per techniques &amp; human'!W5,"")</f>
        <v/>
      </c>
      <c r="O4" t="str">
        <f>IF(COUNTIF('outliers per techniques &amp; human'!N$3:N$25,'outliers per techniques &amp; human'!W5),'outliers per techniques &amp; human'!W5,"")</f>
        <v/>
      </c>
      <c r="P4" t="str">
        <f>IF(COUNTIF('outliers per techniques &amp; human'!O$3:O$368,'outliers per techniques &amp; human'!W5),'outliers per techniques &amp; human'!W5,"")</f>
        <v>gott</v>
      </c>
    </row>
    <row r="5" spans="2:16" x14ac:dyDescent="0.25">
      <c r="B5" s="4" t="str">
        <f>IF(COUNTIF('outliers per techniques &amp; human'!A$3:A$28,'outliers per techniques &amp; human'!$W6),'outliers per techniques &amp; human'!$W6,"")</f>
        <v/>
      </c>
      <c r="C5" t="str">
        <f>IF(COUNTIF('outliers per techniques &amp; human'!B$3:B$28,'outliers per techniques &amp; human'!W6),'outliers per techniques &amp; human'!W6,"")</f>
        <v/>
      </c>
      <c r="D5" t="str">
        <f>IF(COUNTIF('outliers per techniques &amp; human'!C$3:C$38,'outliers per techniques &amp; human'!W6),'outliers per techniques &amp; human'!W6,"")</f>
        <v/>
      </c>
      <c r="E5" t="str">
        <f>IF(COUNTIF('outliers per techniques &amp; human'!D$3:D$38,'outliers per techniques &amp; human'!W6),'outliers per techniques &amp; human'!W6,"")</f>
        <v/>
      </c>
      <c r="F5" t="str">
        <f>IF(COUNTIF('outliers per techniques &amp; human'!E$3:E$24,'outliers per techniques &amp; human'!W6),'outliers per techniques &amp; human'!W6,"")</f>
        <v/>
      </c>
      <c r="G5" t="str">
        <f>IF(COUNTIF('outliers per techniques &amp; human'!F$3:F$24,'outliers per techniques &amp; human'!W6),'outliers per techniques &amp; human'!W6,"")</f>
        <v/>
      </c>
      <c r="H5" t="str">
        <f>IF(COUNTIF('outliers per techniques &amp; human'!G$3:G$42,'outliers per techniques &amp; human'!W6),'outliers per techniques &amp; human'!W6,"")</f>
        <v/>
      </c>
      <c r="I5" t="str">
        <f>IF(COUNTIF('outliers per techniques &amp; human'!H$3:H$42,'outliers per techniques &amp; human'!W6),'outliers per techniques &amp; human'!W6,"")</f>
        <v/>
      </c>
      <c r="J5" t="str">
        <f>IF(COUNTIF('outliers per techniques &amp; human'!I$3:I$21,'outliers per techniques &amp; human'!W6),'outliers per techniques &amp; human'!W6,"")</f>
        <v/>
      </c>
      <c r="K5" t="str">
        <f>IF(COUNTIF('outliers per techniques &amp; human'!J$3:J$47,'outliers per techniques &amp; human'!W6),'outliers per techniques &amp; human'!W6,"")</f>
        <v/>
      </c>
      <c r="L5" t="str">
        <f>IF(COUNTIF('outliers per techniques &amp; human'!K$3:K$78,'outliers per techniques &amp; human'!W6),'outliers per techniques &amp; human'!W6,"")</f>
        <v/>
      </c>
      <c r="M5" t="str">
        <f>IF(COUNTIF('outliers per techniques &amp; human'!L$3:L$17,'outliers per techniques &amp; human'!W6),'outliers per techniques &amp; human'!W6,"")</f>
        <v/>
      </c>
      <c r="N5" t="str">
        <f>IF(COUNTIF('outliers per techniques &amp; human'!M$3:M$200,'outliers per techniques &amp; human'!W6),'outliers per techniques &amp; human'!W6,"")</f>
        <v>informetrie</v>
      </c>
      <c r="O5" t="str">
        <f>IF(COUNTIF('outliers per techniques &amp; human'!N$3:N$25,'outliers per techniques &amp; human'!W6),'outliers per techniques &amp; human'!W6,"")</f>
        <v/>
      </c>
      <c r="P5" t="str">
        <f>IF(COUNTIF('outliers per techniques &amp; human'!O$3:O$368,'outliers per techniques &amp; human'!W6),'outliers per techniques &amp; human'!W6,"")</f>
        <v/>
      </c>
    </row>
    <row r="6" spans="2:16" x14ac:dyDescent="0.25">
      <c r="B6" s="4" t="str">
        <f>IF(COUNTIF('outliers per techniques &amp; human'!A$3:A$28,'outliers per techniques &amp; human'!$W7),'outliers per techniques &amp; human'!$W7,"")</f>
        <v/>
      </c>
      <c r="C6" t="str">
        <f>IF(COUNTIF('outliers per techniques &amp; human'!B$3:B$28,'outliers per techniques &amp; human'!W7),'outliers per techniques &amp; human'!W7,"")</f>
        <v/>
      </c>
      <c r="D6" t="str">
        <f>IF(COUNTIF('outliers per techniques &amp; human'!C$3:C$38,'outliers per techniques &amp; human'!W7),'outliers per techniques &amp; human'!W7,"")</f>
        <v/>
      </c>
      <c r="E6" t="str">
        <f>IF(COUNTIF('outliers per techniques &amp; human'!D$3:D$38,'outliers per techniques &amp; human'!W7),'outliers per techniques &amp; human'!W7,"")</f>
        <v/>
      </c>
      <c r="F6" t="str">
        <f>IF(COUNTIF('outliers per techniques &amp; human'!E$3:E$24,'outliers per techniques &amp; human'!W7),'outliers per techniques &amp; human'!W7,"")</f>
        <v/>
      </c>
      <c r="G6" t="str">
        <f>IF(COUNTIF('outliers per techniques &amp; human'!F$3:F$24,'outliers per techniques &amp; human'!W7),'outliers per techniques &amp; human'!W7,"")</f>
        <v/>
      </c>
      <c r="H6" t="str">
        <f>IF(COUNTIF('outliers per techniques &amp; human'!G$3:G$42,'outliers per techniques &amp; human'!W7),'outliers per techniques &amp; human'!W7,"")</f>
        <v/>
      </c>
      <c r="I6" t="str">
        <f>IF(COUNTIF('outliers per techniques &amp; human'!H$3:H$42,'outliers per techniques &amp; human'!W7),'outliers per techniques &amp; human'!W7,"")</f>
        <v/>
      </c>
      <c r="J6" t="str">
        <f>IF(COUNTIF('outliers per techniques &amp; human'!I$3:I$21,'outliers per techniques &amp; human'!W7),'outliers per techniques &amp; human'!W7,"")</f>
        <v/>
      </c>
      <c r="K6" t="str">
        <f>IF(COUNTIF('outliers per techniques &amp; human'!J$3:J$47,'outliers per techniques &amp; human'!W7),'outliers per techniques &amp; human'!W7,"")</f>
        <v/>
      </c>
      <c r="L6" t="str">
        <f>IF(COUNTIF('outliers per techniques &amp; human'!K$3:K$78,'outliers per techniques &amp; human'!W7),'outliers per techniques &amp; human'!W7,"")</f>
        <v/>
      </c>
      <c r="M6" t="str">
        <f>IF(COUNTIF('outliers per techniques &amp; human'!L$3:L$17,'outliers per techniques &amp; human'!W7),'outliers per techniques &amp; human'!W7,"")</f>
        <v/>
      </c>
      <c r="N6" t="str">
        <f>IF(COUNTIF('outliers per techniques &amp; human'!M$3:M$200,'outliers per techniques &amp; human'!W7),'outliers per techniques &amp; human'!W7,"")</f>
        <v/>
      </c>
      <c r="O6" t="str">
        <f>IF(COUNTIF('outliers per techniques &amp; human'!N$3:N$25,'outliers per techniques &amp; human'!W7),'outliers per techniques &amp; human'!W7,"")</f>
        <v/>
      </c>
      <c r="P6" t="str">
        <f>IF(COUNTIF('outliers per techniques &amp; human'!O$3:O$368,'outliers per techniques &amp; human'!W7),'outliers per techniques &amp; human'!W7,"")</f>
        <v>cattuto</v>
      </c>
    </row>
    <row r="7" spans="2:16" x14ac:dyDescent="0.25">
      <c r="B7" s="4" t="str">
        <f>IF(COUNTIF('outliers per techniques &amp; human'!A$3:A$28,'outliers per techniques &amp; human'!$W8),'outliers per techniques &amp; human'!$W8,"")</f>
        <v/>
      </c>
      <c r="C7" t="str">
        <f>IF(COUNTIF('outliers per techniques &amp; human'!B$3:B$28,'outliers per techniques &amp; human'!W8),'outliers per techniques &amp; human'!W8,"")</f>
        <v/>
      </c>
      <c r="D7" t="str">
        <f>IF(COUNTIF('outliers per techniques &amp; human'!C$3:C$38,'outliers per techniques &amp; human'!W8),'outliers per techniques &amp; human'!W8,"")</f>
        <v/>
      </c>
      <c r="E7" t="str">
        <f>IF(COUNTIF('outliers per techniques &amp; human'!D$3:D$38,'outliers per techniques &amp; human'!W8),'outliers per techniques &amp; human'!W8,"")</f>
        <v/>
      </c>
      <c r="F7" t="str">
        <f>IF(COUNTIF('outliers per techniques &amp; human'!E$3:E$24,'outliers per techniques &amp; human'!W8),'outliers per techniques &amp; human'!W8,"")</f>
        <v/>
      </c>
      <c r="G7" t="str">
        <f>IF(COUNTIF('outliers per techniques &amp; human'!F$3:F$24,'outliers per techniques &amp; human'!W8),'outliers per techniques &amp; human'!W8,"")</f>
        <v/>
      </c>
      <c r="H7" t="str">
        <f>IF(COUNTIF('outliers per techniques &amp; human'!G$3:G$42,'outliers per techniques &amp; human'!W8),'outliers per techniques &amp; human'!W8,"")</f>
        <v/>
      </c>
      <c r="I7" t="str">
        <f>IF(COUNTIF('outliers per techniques &amp; human'!H$3:H$42,'outliers per techniques &amp; human'!W8),'outliers per techniques &amp; human'!W8,"")</f>
        <v/>
      </c>
      <c r="J7" t="str">
        <f>IF(COUNTIF('outliers per techniques &amp; human'!I$3:I$21,'outliers per techniques &amp; human'!W8),'outliers per techniques &amp; human'!W8,"")</f>
        <v/>
      </c>
      <c r="K7" t="str">
        <f>IF(COUNTIF('outliers per techniques &amp; human'!J$3:J$47,'outliers per techniques &amp; human'!W8),'outliers per techniques &amp; human'!W8,"")</f>
        <v/>
      </c>
      <c r="L7" t="str">
        <f>IF(COUNTIF('outliers per techniques &amp; human'!K$3:K$78,'outliers per techniques &amp; human'!W8),'outliers per techniques &amp; human'!W8,"")</f>
        <v/>
      </c>
      <c r="M7" t="str">
        <f>IF(COUNTIF('outliers per techniques &amp; human'!L$3:L$17,'outliers per techniques &amp; human'!W8),'outliers per techniques &amp; human'!W8,"")</f>
        <v/>
      </c>
      <c r="N7" t="str">
        <f>IF(COUNTIF('outliers per techniques &amp; human'!M$3:M$200,'outliers per techniques &amp; human'!W8),'outliers per techniques &amp; human'!W8,"")</f>
        <v/>
      </c>
      <c r="O7" t="str">
        <f>IF(COUNTIF('outliers per techniques &amp; human'!N$3:N$25,'outliers per techniques &amp; human'!W8),'outliers per techniques &amp; human'!W8,"")</f>
        <v>infowiss</v>
      </c>
      <c r="P7" t="str">
        <f>IF(COUNTIF('outliers per techniques &amp; human'!O$3:O$368,'outliers per techniques &amp; human'!W8),'outliers per techniques &amp; human'!W8,"")</f>
        <v/>
      </c>
    </row>
    <row r="8" spans="2:16" x14ac:dyDescent="0.25">
      <c r="B8" s="4" t="str">
        <f>IF(COUNTIF('outliers per techniques &amp; human'!A$3:A$28,'outliers per techniques &amp; human'!$W9),'outliers per techniques &amp; human'!$W9,"")</f>
        <v/>
      </c>
      <c r="C8" t="str">
        <f>IF(COUNTIF('outliers per techniques &amp; human'!B$3:B$28,'outliers per techniques &amp; human'!W9),'outliers per techniques &amp; human'!W9,"")</f>
        <v/>
      </c>
      <c r="D8" t="str">
        <f>IF(COUNTIF('outliers per techniques &amp; human'!C$3:C$38,'outliers per techniques &amp; human'!W9),'outliers per techniques &amp; human'!W9,"")</f>
        <v/>
      </c>
      <c r="E8" t="str">
        <f>IF(COUNTIF('outliers per techniques &amp; human'!D$3:D$38,'outliers per techniques &amp; human'!W9),'outliers per techniques &amp; human'!W9,"")</f>
        <v/>
      </c>
      <c r="F8" t="str">
        <f>IF(COUNTIF('outliers per techniques &amp; human'!E$3:E$24,'outliers per techniques &amp; human'!W9),'outliers per techniques &amp; human'!W9,"")</f>
        <v/>
      </c>
      <c r="G8" t="str">
        <f>IF(COUNTIF('outliers per techniques &amp; human'!F$3:F$24,'outliers per techniques &amp; human'!W9),'outliers per techniques &amp; human'!W9,"")</f>
        <v/>
      </c>
      <c r="H8" t="str">
        <f>IF(COUNTIF('outliers per techniques &amp; human'!G$3:G$42,'outliers per techniques &amp; human'!W9),'outliers per techniques &amp; human'!W9,"")</f>
        <v/>
      </c>
      <c r="I8" t="str">
        <f>IF(COUNTIF('outliers per techniques &amp; human'!H$3:H$42,'outliers per techniques &amp; human'!W9),'outliers per techniques &amp; human'!W9,"")</f>
        <v/>
      </c>
      <c r="J8" t="str">
        <f>IF(COUNTIF('outliers per techniques &amp; human'!I$3:I$21,'outliers per techniques &amp; human'!W9),'outliers per techniques &amp; human'!W9,"")</f>
        <v/>
      </c>
      <c r="K8" t="str">
        <f>IF(COUNTIF('outliers per techniques &amp; human'!J$3:J$47,'outliers per techniques &amp; human'!W9),'outliers per techniques &amp; human'!W9,"")</f>
        <v/>
      </c>
      <c r="L8" t="str">
        <f>IF(COUNTIF('outliers per techniques &amp; human'!K$3:K$78,'outliers per techniques &amp; human'!W9),'outliers per techniques &amp; human'!W9,"")</f>
        <v/>
      </c>
      <c r="M8" t="str">
        <f>IF(COUNTIF('outliers per techniques &amp; human'!L$3:L$17,'outliers per techniques &amp; human'!W9),'outliers per techniques &amp; human'!W9,"")</f>
        <v/>
      </c>
      <c r="N8" t="str">
        <f>IF(COUNTIF('outliers per techniques &amp; human'!M$3:M$200,'outliers per techniques &amp; human'!W9),'outliers per techniques &amp; human'!W9,"")</f>
        <v/>
      </c>
      <c r="O8" t="str">
        <f>IF(COUNTIF('outliers per techniques &amp; human'!N$3:N$25,'outliers per techniques &amp; human'!W9),'outliers per techniques &amp; human'!W9,"")</f>
        <v/>
      </c>
      <c r="P8" t="str">
        <f>IF(COUNTIF('outliers per techniques &amp; human'!O$3:O$368,'outliers per techniques &amp; human'!W9),'outliers per techniques &amp; human'!W9,"")</f>
        <v>aussiedlerin</v>
      </c>
    </row>
    <row r="9" spans="2:16" x14ac:dyDescent="0.25">
      <c r="B9" s="4" t="str">
        <f>IF(COUNTIF('outliers per techniques &amp; human'!A$3:A$28,'outliers per techniques &amp; human'!$W10),'outliers per techniques &amp; human'!$W10,"")</f>
        <v/>
      </c>
      <c r="C9" t="str">
        <f>IF(COUNTIF('outliers per techniques &amp; human'!B$3:B$28,'outliers per techniques &amp; human'!W10),'outliers per techniques &amp; human'!W10,"")</f>
        <v/>
      </c>
      <c r="D9" t="str">
        <f>IF(COUNTIF('outliers per techniques &amp; human'!C$3:C$38,'outliers per techniques &amp; human'!W10),'outliers per techniques &amp; human'!W10,"")</f>
        <v/>
      </c>
      <c r="E9" t="str">
        <f>IF(COUNTIF('outliers per techniques &amp; human'!D$3:D$38,'outliers per techniques &amp; human'!W10),'outliers per techniques &amp; human'!W10,"")</f>
        <v/>
      </c>
      <c r="F9" t="str">
        <f>IF(COUNTIF('outliers per techniques &amp; human'!E$3:E$24,'outliers per techniques &amp; human'!W10),'outliers per techniques &amp; human'!W10,"")</f>
        <v/>
      </c>
      <c r="G9" t="str">
        <f>IF(COUNTIF('outliers per techniques &amp; human'!F$3:F$24,'outliers per techniques &amp; human'!W10),'outliers per techniques &amp; human'!W10,"")</f>
        <v/>
      </c>
      <c r="H9" t="str">
        <f>IF(COUNTIF('outliers per techniques &amp; human'!G$3:G$42,'outliers per techniques &amp; human'!W10),'outliers per techniques &amp; human'!W10,"")</f>
        <v/>
      </c>
      <c r="I9" t="str">
        <f>IF(COUNTIF('outliers per techniques &amp; human'!H$3:H$42,'outliers per techniques &amp; human'!W10),'outliers per techniques &amp; human'!W10,"")</f>
        <v/>
      </c>
      <c r="J9" t="str">
        <f>IF(COUNTIF('outliers per techniques &amp; human'!I$3:I$21,'outliers per techniques &amp; human'!W10),'outliers per techniques &amp; human'!W10,"")</f>
        <v/>
      </c>
      <c r="K9" t="str">
        <f>IF(COUNTIF('outliers per techniques &amp; human'!J$3:J$47,'outliers per techniques &amp; human'!W10),'outliers per techniques &amp; human'!W10,"")</f>
        <v/>
      </c>
      <c r="L9" t="str">
        <f>IF(COUNTIF('outliers per techniques &amp; human'!K$3:K$78,'outliers per techniques &amp; human'!W10),'outliers per techniques &amp; human'!W10,"")</f>
        <v/>
      </c>
      <c r="M9" t="str">
        <f>IF(COUNTIF('outliers per techniques &amp; human'!L$3:L$17,'outliers per techniques &amp; human'!W10),'outliers per techniques &amp; human'!W10,"")</f>
        <v/>
      </c>
      <c r="N9" t="str">
        <f>IF(COUNTIF('outliers per techniques &amp; human'!M$3:M$200,'outliers per techniques &amp; human'!W10),'outliers per techniques &amp; human'!W10,"")</f>
        <v/>
      </c>
      <c r="O9" t="str">
        <f>IF(COUNTIF('outliers per techniques &amp; human'!N$3:N$25,'outliers per techniques &amp; human'!W10),'outliers per techniques &amp; human'!W10,"")</f>
        <v/>
      </c>
      <c r="P9" t="str">
        <f>IF(COUNTIF('outliers per techniques &amp; human'!O$3:O$368,'outliers per techniques &amp; human'!W10),'outliers per techniques &amp; human'!W10,"")</f>
        <v>integrationsforschung</v>
      </c>
    </row>
    <row r="10" spans="2:16" x14ac:dyDescent="0.25">
      <c r="B10" s="4" t="str">
        <f>IF(COUNTIF('outliers per techniques &amp; human'!A$3:A$28,'outliers per techniques &amp; human'!$W11),'outliers per techniques &amp; human'!$W11,"")</f>
        <v/>
      </c>
      <c r="C10" t="str">
        <f>IF(COUNTIF('outliers per techniques &amp; human'!B$3:B$28,'outliers per techniques &amp; human'!W11),'outliers per techniques &amp; human'!W11,"")</f>
        <v/>
      </c>
      <c r="D10" t="str">
        <f>IF(COUNTIF('outliers per techniques &amp; human'!C$3:C$38,'outliers per techniques &amp; human'!W11),'outliers per techniques &amp; human'!W11,"")</f>
        <v/>
      </c>
      <c r="E10" t="str">
        <f>IF(COUNTIF('outliers per techniques &amp; human'!D$3:D$38,'outliers per techniques &amp; human'!W11),'outliers per techniques &amp; human'!W11,"")</f>
        <v/>
      </c>
      <c r="F10" t="str">
        <f>IF(COUNTIF('outliers per techniques &amp; human'!E$3:E$24,'outliers per techniques &amp; human'!W11),'outliers per techniques &amp; human'!W11,"")</f>
        <v/>
      </c>
      <c r="G10" t="str">
        <f>IF(COUNTIF('outliers per techniques &amp; human'!F$3:F$24,'outliers per techniques &amp; human'!W11),'outliers per techniques &amp; human'!W11,"")</f>
        <v/>
      </c>
      <c r="H10" t="str">
        <f>IF(COUNTIF('outliers per techniques &amp; human'!G$3:G$42,'outliers per techniques &amp; human'!W11),'outliers per techniques &amp; human'!W11,"")</f>
        <v/>
      </c>
      <c r="I10" t="str">
        <f>IF(COUNTIF('outliers per techniques &amp; human'!H$3:H$42,'outliers per techniques &amp; human'!W11),'outliers per techniques &amp; human'!W11,"")</f>
        <v/>
      </c>
      <c r="J10" t="str">
        <f>IF(COUNTIF('outliers per techniques &amp; human'!I$3:I$21,'outliers per techniques &amp; human'!W11),'outliers per techniques &amp; human'!W11,"")</f>
        <v/>
      </c>
      <c r="K10" t="str">
        <f>IF(COUNTIF('outliers per techniques &amp; human'!J$3:J$47,'outliers per techniques &amp; human'!W11),'outliers per techniques &amp; human'!W11,"")</f>
        <v/>
      </c>
      <c r="L10" t="str">
        <f>IF(COUNTIF('outliers per techniques &amp; human'!K$3:K$78,'outliers per techniques &amp; human'!W11),'outliers per techniques &amp; human'!W11,"")</f>
        <v/>
      </c>
      <c r="M10" t="str">
        <f>IF(COUNTIF('outliers per techniques &amp; human'!L$3:L$17,'outliers per techniques &amp; human'!W11),'outliers per techniques &amp; human'!W11,"")</f>
        <v/>
      </c>
      <c r="N10" t="str">
        <f>IF(COUNTIF('outliers per techniques &amp; human'!M$3:M$200,'outliers per techniques &amp; human'!W11),'outliers per techniques &amp; human'!W11,"")</f>
        <v>mamu</v>
      </c>
      <c r="O10" t="str">
        <f>IF(COUNTIF('outliers per techniques &amp; human'!N$3:N$25,'outliers per techniques &amp; human'!W11),'outliers per techniques &amp; human'!W11,"")</f>
        <v/>
      </c>
      <c r="P10" t="str">
        <f>IF(COUNTIF('outliers per techniques &amp; human'!O$3:O$368,'outliers per techniques &amp; human'!W11),'outliers per techniques &amp; human'!W11,"")</f>
        <v/>
      </c>
    </row>
    <row r="11" spans="2:16" x14ac:dyDescent="0.25">
      <c r="B11" s="4" t="str">
        <f>IF(COUNTIF('outliers per techniques &amp; human'!A$3:A$28,'outliers per techniques &amp; human'!$W12),'outliers per techniques &amp; human'!$W12,"")</f>
        <v/>
      </c>
      <c r="C11" t="str">
        <f>IF(COUNTIF('outliers per techniques &amp; human'!B$3:B$28,'outliers per techniques &amp; human'!W12),'outliers per techniques &amp; human'!W12,"")</f>
        <v/>
      </c>
      <c r="D11" t="str">
        <f>IF(COUNTIF('outliers per techniques &amp; human'!C$3:C$38,'outliers per techniques &amp; human'!W12),'outliers per techniques &amp; human'!W12,"")</f>
        <v/>
      </c>
      <c r="E11" t="str">
        <f>IF(COUNTIF('outliers per techniques &amp; human'!D$3:D$38,'outliers per techniques &amp; human'!W12),'outliers per techniques &amp; human'!W12,"")</f>
        <v/>
      </c>
      <c r="F11" t="str">
        <f>IF(COUNTIF('outliers per techniques &amp; human'!E$3:E$24,'outliers per techniques &amp; human'!W12),'outliers per techniques &amp; human'!W12,"")</f>
        <v/>
      </c>
      <c r="G11" t="str">
        <f>IF(COUNTIF('outliers per techniques &amp; human'!F$3:F$24,'outliers per techniques &amp; human'!W12),'outliers per techniques &amp; human'!W12,"")</f>
        <v/>
      </c>
      <c r="H11" t="str">
        <f>IF(COUNTIF('outliers per techniques &amp; human'!G$3:G$42,'outliers per techniques &amp; human'!W12),'outliers per techniques &amp; human'!W12,"")</f>
        <v/>
      </c>
      <c r="I11" t="str">
        <f>IF(COUNTIF('outliers per techniques &amp; human'!H$3:H$42,'outliers per techniques &amp; human'!W12),'outliers per techniques &amp; human'!W12,"")</f>
        <v/>
      </c>
      <c r="J11" t="str">
        <f>IF(COUNTIF('outliers per techniques &amp; human'!I$3:I$21,'outliers per techniques &amp; human'!W12),'outliers per techniques &amp; human'!W12,"")</f>
        <v/>
      </c>
      <c r="K11" t="str">
        <f>IF(COUNTIF('outliers per techniques &amp; human'!J$3:J$47,'outliers per techniques &amp; human'!W12),'outliers per techniques &amp; human'!W12,"")</f>
        <v/>
      </c>
      <c r="L11" t="str">
        <f>IF(COUNTIF('outliers per techniques &amp; human'!K$3:K$78,'outliers per techniques &amp; human'!W12),'outliers per techniques &amp; human'!W12,"")</f>
        <v/>
      </c>
      <c r="M11" t="str">
        <f>IF(COUNTIF('outliers per techniques &amp; human'!L$3:L$17,'outliers per techniques &amp; human'!W12),'outliers per techniques &amp; human'!W12,"")</f>
        <v/>
      </c>
      <c r="N11" t="str">
        <f>IF(COUNTIF('outliers per techniques &amp; human'!M$3:M$200,'outliers per techniques &amp; human'!W12),'outliers per techniques &amp; human'!W12,"")</f>
        <v/>
      </c>
      <c r="O11" t="str">
        <f>IF(COUNTIF('outliers per techniques &amp; human'!N$3:N$25,'outliers per techniques &amp; human'!W12),'outliers per techniques &amp; human'!W12,"")</f>
        <v>22</v>
      </c>
      <c r="P11" t="str">
        <f>IF(COUNTIF('outliers per techniques &amp; human'!O$3:O$368,'outliers per techniques &amp; human'!W12),'outliers per techniques &amp; human'!W12,"")</f>
        <v/>
      </c>
    </row>
    <row r="12" spans="2:16" x14ac:dyDescent="0.25">
      <c r="B12" s="4" t="str">
        <f>IF(COUNTIF('outliers per techniques &amp; human'!A$3:A$28,'outliers per techniques &amp; human'!$W13),'outliers per techniques &amp; human'!$W13,"")</f>
        <v/>
      </c>
      <c r="C12" t="str">
        <f>IF(COUNTIF('outliers per techniques &amp; human'!B$3:B$28,'outliers per techniques &amp; human'!W13),'outliers per techniques &amp; human'!W13,"")</f>
        <v/>
      </c>
      <c r="D12" t="str">
        <f>IF(COUNTIF('outliers per techniques &amp; human'!C$3:C$38,'outliers per techniques &amp; human'!W13),'outliers per techniques &amp; human'!W13,"")</f>
        <v/>
      </c>
      <c r="E12" t="str">
        <f>IF(COUNTIF('outliers per techniques &amp; human'!D$3:D$38,'outliers per techniques &amp; human'!W13),'outliers per techniques &amp; human'!W13,"")</f>
        <v/>
      </c>
      <c r="F12" t="str">
        <f>IF(COUNTIF('outliers per techniques &amp; human'!E$3:E$24,'outliers per techniques &amp; human'!W13),'outliers per techniques &amp; human'!W13,"")</f>
        <v/>
      </c>
      <c r="G12" t="str">
        <f>IF(COUNTIF('outliers per techniques &amp; human'!F$3:F$24,'outliers per techniques &amp; human'!W13),'outliers per techniques &amp; human'!W13,"")</f>
        <v/>
      </c>
      <c r="H12" t="str">
        <f>IF(COUNTIF('outliers per techniques &amp; human'!G$3:G$42,'outliers per techniques &amp; human'!W13),'outliers per techniques &amp; human'!W13,"")</f>
        <v/>
      </c>
      <c r="I12" t="str">
        <f>IF(COUNTIF('outliers per techniques &amp; human'!H$3:H$42,'outliers per techniques &amp; human'!W13),'outliers per techniques &amp; human'!W13,"")</f>
        <v/>
      </c>
      <c r="J12" t="str">
        <f>IF(COUNTIF('outliers per techniques &amp; human'!I$3:I$21,'outliers per techniques &amp; human'!W13),'outliers per techniques &amp; human'!W13,"")</f>
        <v/>
      </c>
      <c r="K12" t="str">
        <f>IF(COUNTIF('outliers per techniques &amp; human'!J$3:J$47,'outliers per techniques &amp; human'!W13),'outliers per techniques &amp; human'!W13,"")</f>
        <v/>
      </c>
      <c r="L12" t="str">
        <f>IF(COUNTIF('outliers per techniques &amp; human'!K$3:K$78,'outliers per techniques &amp; human'!W13),'outliers per techniques &amp; human'!W13,"")</f>
        <v/>
      </c>
      <c r="M12" t="str">
        <f>IF(COUNTIF('outliers per techniques &amp; human'!L$3:L$17,'outliers per techniques &amp; human'!W13),'outliers per techniques &amp; human'!W13,"")</f>
        <v/>
      </c>
      <c r="N12" t="str">
        <f>IF(COUNTIF('outliers per techniques &amp; human'!M$3:M$200,'outliers per techniques &amp; human'!W13),'outliers per techniques &amp; human'!W13,"")</f>
        <v>relationen</v>
      </c>
      <c r="O12" t="str">
        <f>IF(COUNTIF('outliers per techniques &amp; human'!N$3:N$25,'outliers per techniques &amp; human'!W13),'outliers per techniques &amp; human'!W13,"")</f>
        <v/>
      </c>
      <c r="P12" t="str">
        <f>IF(COUNTIF('outliers per techniques &amp; human'!O$3:O$368,'outliers per techniques &amp; human'!W13),'outliers per techniques &amp; human'!W13,"")</f>
        <v/>
      </c>
    </row>
    <row r="13" spans="2:16" x14ac:dyDescent="0.25">
      <c r="B13" s="4" t="str">
        <f>IF(COUNTIF('outliers per techniques &amp; human'!A$3:A$28,'outliers per techniques &amp; human'!$W14),'outliers per techniques &amp; human'!$W14,"")</f>
        <v/>
      </c>
      <c r="C13" t="str">
        <f>IF(COUNTIF('outliers per techniques &amp; human'!B$3:B$28,'outliers per techniques &amp; human'!W14),'outliers per techniques &amp; human'!W14,"")</f>
        <v/>
      </c>
      <c r="D13" t="str">
        <f>IF(COUNTIF('outliers per techniques &amp; human'!C$3:C$38,'outliers per techniques &amp; human'!W14),'outliers per techniques &amp; human'!W14,"")</f>
        <v/>
      </c>
      <c r="E13" t="str">
        <f>IF(COUNTIF('outliers per techniques &amp; human'!D$3:D$38,'outliers per techniques &amp; human'!W14),'outliers per techniques &amp; human'!W14,"")</f>
        <v/>
      </c>
      <c r="F13" t="str">
        <f>IF(COUNTIF('outliers per techniques &amp; human'!E$3:E$24,'outliers per techniques &amp; human'!W14),'outliers per techniques &amp; human'!W14,"")</f>
        <v/>
      </c>
      <c r="G13" t="str">
        <f>IF(COUNTIF('outliers per techniques &amp; human'!F$3:F$24,'outliers per techniques &amp; human'!W14),'outliers per techniques &amp; human'!W14,"")</f>
        <v/>
      </c>
      <c r="H13" t="str">
        <f>IF(COUNTIF('outliers per techniques &amp; human'!G$3:G$42,'outliers per techniques &amp; human'!W14),'outliers per techniques &amp; human'!W14,"")</f>
        <v/>
      </c>
      <c r="I13" t="str">
        <f>IF(COUNTIF('outliers per techniques &amp; human'!H$3:H$42,'outliers per techniques &amp; human'!W14),'outliers per techniques &amp; human'!W14,"")</f>
        <v/>
      </c>
      <c r="J13" t="str">
        <f>IF(COUNTIF('outliers per techniques &amp; human'!I$3:I$21,'outliers per techniques &amp; human'!W14),'outliers per techniques &amp; human'!W14,"")</f>
        <v/>
      </c>
      <c r="K13" t="str">
        <f>IF(COUNTIF('outliers per techniques &amp; human'!J$3:J$47,'outliers per techniques &amp; human'!W14),'outliers per techniques &amp; human'!W14,"")</f>
        <v/>
      </c>
      <c r="L13" t="str">
        <f>IF(COUNTIF('outliers per techniques &amp; human'!K$3:K$78,'outliers per techniques &amp; human'!W14),'outliers per techniques &amp; human'!W14,"")</f>
        <v/>
      </c>
      <c r="M13" t="str">
        <f>IF(COUNTIF('outliers per techniques &amp; human'!L$3:L$17,'outliers per techniques &amp; human'!W14),'outliers per techniques &amp; human'!W14,"")</f>
        <v/>
      </c>
      <c r="N13" t="str">
        <f>IF(COUNTIF('outliers per techniques &amp; human'!M$3:M$200,'outliers per techniques &amp; human'!W14),'outliers per techniques &amp; human'!W14,"")</f>
        <v>wismasys0809</v>
      </c>
      <c r="O13" t="str">
        <f>IF(COUNTIF('outliers per techniques &amp; human'!N$3:N$25,'outliers per techniques &amp; human'!W14),'outliers per techniques &amp; human'!W14,"")</f>
        <v/>
      </c>
      <c r="P13" t="str">
        <f>IF(COUNTIF('outliers per techniques &amp; human'!O$3:O$368,'outliers per techniques &amp; human'!W14),'outliers per techniques &amp; human'!W14,"")</f>
        <v/>
      </c>
    </row>
    <row r="14" spans="2:16" x14ac:dyDescent="0.25">
      <c r="B14" s="4" t="str">
        <f>IF(COUNTIF('outliers per techniques &amp; human'!A$3:A$28,'outliers per techniques &amp; human'!$W15),'outliers per techniques &amp; human'!$W15,"")</f>
        <v/>
      </c>
      <c r="C14" t="str">
        <f>IF(COUNTIF('outliers per techniques &amp; human'!B$3:B$28,'outliers per techniques &amp; human'!W15),'outliers per techniques &amp; human'!W15,"")</f>
        <v/>
      </c>
      <c r="D14" t="str">
        <f>IF(COUNTIF('outliers per techniques &amp; human'!C$3:C$38,'outliers per techniques &amp; human'!W15),'outliers per techniques &amp; human'!W15,"")</f>
        <v/>
      </c>
      <c r="E14" t="str">
        <f>IF(COUNTIF('outliers per techniques &amp; human'!D$3:D$38,'outliers per techniques &amp; human'!W15),'outliers per techniques &amp; human'!W15,"")</f>
        <v/>
      </c>
      <c r="F14" t="str">
        <f>IF(COUNTIF('outliers per techniques &amp; human'!E$3:E$24,'outliers per techniques &amp; human'!W15),'outliers per techniques &amp; human'!W15,"")</f>
        <v/>
      </c>
      <c r="G14" t="str">
        <f>IF(COUNTIF('outliers per techniques &amp; human'!F$3:F$24,'outliers per techniques &amp; human'!W15),'outliers per techniques &amp; human'!W15,"")</f>
        <v/>
      </c>
      <c r="H14" t="str">
        <f>IF(COUNTIF('outliers per techniques &amp; human'!G$3:G$42,'outliers per techniques &amp; human'!W15),'outliers per techniques &amp; human'!W15,"")</f>
        <v/>
      </c>
      <c r="I14" t="str">
        <f>IF(COUNTIF('outliers per techniques &amp; human'!H$3:H$42,'outliers per techniques &amp; human'!W15),'outliers per techniques &amp; human'!W15,"")</f>
        <v/>
      </c>
      <c r="J14" t="str">
        <f>IF(COUNTIF('outliers per techniques &amp; human'!I$3:I$21,'outliers per techniques &amp; human'!W15),'outliers per techniques &amp; human'!W15,"")</f>
        <v/>
      </c>
      <c r="K14" t="str">
        <f>IF(COUNTIF('outliers per techniques &amp; human'!J$3:J$47,'outliers per techniques &amp; human'!W15),'outliers per techniques &amp; human'!W15,"")</f>
        <v/>
      </c>
      <c r="L14" t="str">
        <f>IF(COUNTIF('outliers per techniques &amp; human'!K$3:K$78,'outliers per techniques &amp; human'!W15),'outliers per techniques &amp; human'!W15,"")</f>
        <v/>
      </c>
      <c r="M14" t="str">
        <f>IF(COUNTIF('outliers per techniques &amp; human'!L$3:L$17,'outliers per techniques &amp; human'!W15),'outliers per techniques &amp; human'!W15,"")</f>
        <v/>
      </c>
      <c r="N14" t="str">
        <f>IF(COUNTIF('outliers per techniques &amp; human'!M$3:M$200,'outliers per techniques &amp; human'!W15),'outliers per techniques &amp; human'!W15,"")</f>
        <v>genfood</v>
      </c>
      <c r="O14" t="str">
        <f>IF(COUNTIF('outliers per techniques &amp; human'!N$3:N$25,'outliers per techniques &amp; human'!W15),'outliers per techniques &amp; human'!W15,"")</f>
        <v/>
      </c>
      <c r="P14" t="str">
        <f>IF(COUNTIF('outliers per techniques &amp; human'!O$3:O$368,'outliers per techniques &amp; human'!W15),'outliers per techniques &amp; human'!W15,"")</f>
        <v/>
      </c>
    </row>
    <row r="15" spans="2:16" x14ac:dyDescent="0.25">
      <c r="B15" s="4" t="str">
        <f>IF(COUNTIF('outliers per techniques &amp; human'!A$3:A$28,'outliers per techniques &amp; human'!$W16),'outliers per techniques &amp; human'!$W16,"")</f>
        <v/>
      </c>
      <c r="C15" t="str">
        <f>IF(COUNTIF('outliers per techniques &amp; human'!B$3:B$28,'outliers per techniques &amp; human'!W16),'outliers per techniques &amp; human'!W16,"")</f>
        <v/>
      </c>
      <c r="D15" t="str">
        <f>IF(COUNTIF('outliers per techniques &amp; human'!C$3:C$38,'outliers per techniques &amp; human'!W16),'outliers per techniques &amp; human'!W16,"")</f>
        <v/>
      </c>
      <c r="E15" t="str">
        <f>IF(COUNTIF('outliers per techniques &amp; human'!D$3:D$38,'outliers per techniques &amp; human'!W16),'outliers per techniques &amp; human'!W16,"")</f>
        <v/>
      </c>
      <c r="F15" t="str">
        <f>IF(COUNTIF('outliers per techniques &amp; human'!E$3:E$24,'outliers per techniques &amp; human'!W16),'outliers per techniques &amp; human'!W16,"")</f>
        <v/>
      </c>
      <c r="G15" t="str">
        <f>IF(COUNTIF('outliers per techniques &amp; human'!F$3:F$24,'outliers per techniques &amp; human'!W16),'outliers per techniques &amp; human'!W16,"")</f>
        <v/>
      </c>
      <c r="H15" t="str">
        <f>IF(COUNTIF('outliers per techniques &amp; human'!G$3:G$42,'outliers per techniques &amp; human'!W16),'outliers per techniques &amp; human'!W16,"")</f>
        <v/>
      </c>
      <c r="I15" t="str">
        <f>IF(COUNTIF('outliers per techniques &amp; human'!H$3:H$42,'outliers per techniques &amp; human'!W16),'outliers per techniques &amp; human'!W16,"")</f>
        <v/>
      </c>
      <c r="J15" t="str">
        <f>IF(COUNTIF('outliers per techniques &amp; human'!I$3:I$21,'outliers per techniques &amp; human'!W16),'outliers per techniques &amp; human'!W16,"")</f>
        <v/>
      </c>
      <c r="K15" t="str">
        <f>IF(COUNTIF('outliers per techniques &amp; human'!J$3:J$47,'outliers per techniques &amp; human'!W16),'outliers per techniques &amp; human'!W16,"")</f>
        <v/>
      </c>
      <c r="L15" t="str">
        <f>IF(COUNTIF('outliers per techniques &amp; human'!K$3:K$78,'outliers per techniques &amp; human'!W16),'outliers per techniques &amp; human'!W16,"")</f>
        <v/>
      </c>
      <c r="M15" t="str">
        <f>IF(COUNTIF('outliers per techniques &amp; human'!L$3:L$17,'outliers per techniques &amp; human'!W16),'outliers per techniques &amp; human'!W16,"")</f>
        <v/>
      </c>
      <c r="N15" t="str">
        <f>IF(COUNTIF('outliers per techniques &amp; human'!M$3:M$200,'outliers per techniques &amp; human'!W16),'outliers per techniques &amp; human'!W16,"")</f>
        <v>scholastik</v>
      </c>
      <c r="O15" t="str">
        <f>IF(COUNTIF('outliers per techniques &amp; human'!N$3:N$25,'outliers per techniques &amp; human'!W16),'outliers per techniques &amp; human'!W16,"")</f>
        <v/>
      </c>
      <c r="P15" t="str">
        <f>IF(COUNTIF('outliers per techniques &amp; human'!O$3:O$368,'outliers per techniques &amp; human'!W16),'outliers per techniques &amp; human'!W16,"")</f>
        <v/>
      </c>
    </row>
    <row r="16" spans="2:16" x14ac:dyDescent="0.25">
      <c r="B16" s="4" t="str">
        <f>IF(COUNTIF('outliers per techniques &amp; human'!A$3:A$28,'outliers per techniques &amp; human'!$W17),'outliers per techniques &amp; human'!$W17,"")</f>
        <v/>
      </c>
      <c r="C16" t="str">
        <f>IF(COUNTIF('outliers per techniques &amp; human'!B$3:B$28,'outliers per techniques &amp; human'!W17),'outliers per techniques &amp; human'!W17,"")</f>
        <v/>
      </c>
      <c r="D16" t="str">
        <f>IF(COUNTIF('outliers per techniques &amp; human'!C$3:C$38,'outliers per techniques &amp; human'!W17),'outliers per techniques &amp; human'!W17,"")</f>
        <v/>
      </c>
      <c r="E16" t="str">
        <f>IF(COUNTIF('outliers per techniques &amp; human'!D$3:D$38,'outliers per techniques &amp; human'!W17),'outliers per techniques &amp; human'!W17,"")</f>
        <v/>
      </c>
      <c r="F16" t="str">
        <f>IF(COUNTIF('outliers per techniques &amp; human'!E$3:E$24,'outliers per techniques &amp; human'!W17),'outliers per techniques &amp; human'!W17,"")</f>
        <v>logistik</v>
      </c>
      <c r="G16" t="str">
        <f>IF(COUNTIF('outliers per techniques &amp; human'!F$3:F$24,'outliers per techniques &amp; human'!W17),'outliers per techniques &amp; human'!W17,"")</f>
        <v>logistik</v>
      </c>
      <c r="H16" t="str">
        <f>IF(COUNTIF('outliers per techniques &amp; human'!G$3:G$42,'outliers per techniques &amp; human'!W17),'outliers per techniques &amp; human'!W17,"")</f>
        <v>logistik</v>
      </c>
      <c r="I16" t="str">
        <f>IF(COUNTIF('outliers per techniques &amp; human'!H$3:H$42,'outliers per techniques &amp; human'!W17),'outliers per techniques &amp; human'!W17,"")</f>
        <v>logistik</v>
      </c>
      <c r="J16" t="str">
        <f>IF(COUNTIF('outliers per techniques &amp; human'!I$3:I$21,'outliers per techniques &amp; human'!W17),'outliers per techniques &amp; human'!W17,"")</f>
        <v/>
      </c>
      <c r="K16" t="str">
        <f>IF(COUNTIF('outliers per techniques &amp; human'!J$3:J$47,'outliers per techniques &amp; human'!W17),'outliers per techniques &amp; human'!W17,"")</f>
        <v/>
      </c>
      <c r="L16" t="str">
        <f>IF(COUNTIF('outliers per techniques &amp; human'!K$3:K$78,'outliers per techniques &amp; human'!W17),'outliers per techniques &amp; human'!W17,"")</f>
        <v/>
      </c>
      <c r="M16" t="str">
        <f>IF(COUNTIF('outliers per techniques &amp; human'!L$3:L$17,'outliers per techniques &amp; human'!W17),'outliers per techniques &amp; human'!W17,"")</f>
        <v/>
      </c>
      <c r="N16" t="str">
        <f>IF(COUNTIF('outliers per techniques &amp; human'!M$3:M$200,'outliers per techniques &amp; human'!W17),'outliers per techniques &amp; human'!W17,"")</f>
        <v/>
      </c>
      <c r="O16" t="str">
        <f>IF(COUNTIF('outliers per techniques &amp; human'!N$3:N$25,'outliers per techniques &amp; human'!W17),'outliers per techniques &amp; human'!W17,"")</f>
        <v/>
      </c>
      <c r="P16" t="str">
        <f>IF(COUNTIF('outliers per techniques &amp; human'!O$3:O$368,'outliers per techniques &amp; human'!W17),'outliers per techniques &amp; human'!W17,"")</f>
        <v/>
      </c>
    </row>
    <row r="17" spans="2:16" x14ac:dyDescent="0.25">
      <c r="B17" s="4" t="str">
        <f>IF(COUNTIF('outliers per techniques &amp; human'!A$3:A$28,'outliers per techniques &amp; human'!$W18),'outliers per techniques &amp; human'!$W18,"")</f>
        <v/>
      </c>
      <c r="C17" t="str">
        <f>IF(COUNTIF('outliers per techniques &amp; human'!B$3:B$28,'outliers per techniques &amp; human'!W18),'outliers per techniques &amp; human'!W18,"")</f>
        <v/>
      </c>
      <c r="D17" t="str">
        <f>IF(COUNTIF('outliers per techniques &amp; human'!C$3:C$38,'outliers per techniques &amp; human'!W18),'outliers per techniques &amp; human'!W18,"")</f>
        <v/>
      </c>
      <c r="E17" t="str">
        <f>IF(COUNTIF('outliers per techniques &amp; human'!D$3:D$38,'outliers per techniques &amp; human'!W18),'outliers per techniques &amp; human'!W18,"")</f>
        <v/>
      </c>
      <c r="F17" t="str">
        <f>IF(COUNTIF('outliers per techniques &amp; human'!E$3:E$24,'outliers per techniques &amp; human'!W18),'outliers per techniques &amp; human'!W18,"")</f>
        <v/>
      </c>
      <c r="G17" t="str">
        <f>IF(COUNTIF('outliers per techniques &amp; human'!F$3:F$24,'outliers per techniques &amp; human'!W18),'outliers per techniques &amp; human'!W18,"")</f>
        <v/>
      </c>
      <c r="H17" t="str">
        <f>IF(COUNTIF('outliers per techniques &amp; human'!G$3:G$42,'outliers per techniques &amp; human'!W18),'outliers per techniques &amp; human'!W18,"")</f>
        <v/>
      </c>
      <c r="I17" t="str">
        <f>IF(COUNTIF('outliers per techniques &amp; human'!H$3:H$42,'outliers per techniques &amp; human'!W18),'outliers per techniques &amp; human'!W18,"")</f>
        <v/>
      </c>
      <c r="J17" t="str">
        <f>IF(COUNTIF('outliers per techniques &amp; human'!I$3:I$21,'outliers per techniques &amp; human'!W18),'outliers per techniques &amp; human'!W18,"")</f>
        <v/>
      </c>
      <c r="K17" t="str">
        <f>IF(COUNTIF('outliers per techniques &amp; human'!J$3:J$47,'outliers per techniques &amp; human'!W18),'outliers per techniques &amp; human'!W18,"")</f>
        <v/>
      </c>
      <c r="L17" t="str">
        <f>IF(COUNTIF('outliers per techniques &amp; human'!K$3:K$78,'outliers per techniques &amp; human'!W18),'outliers per techniques &amp; human'!W18,"")</f>
        <v/>
      </c>
      <c r="M17" t="str">
        <f>IF(COUNTIF('outliers per techniques &amp; human'!L$3:L$17,'outliers per techniques &amp; human'!W18),'outliers per techniques &amp; human'!W18,"")</f>
        <v/>
      </c>
      <c r="N17" t="str">
        <f>IF(COUNTIF('outliers per techniques &amp; human'!M$3:M$200,'outliers per techniques &amp; human'!W18),'outliers per techniques &amp; human'!W18,"")</f>
        <v/>
      </c>
      <c r="O17" t="str">
        <f>IF(COUNTIF('outliers per techniques &amp; human'!N$3:N$25,'outliers per techniques &amp; human'!W18),'outliers per techniques &amp; human'!W18,"")</f>
        <v/>
      </c>
      <c r="P17" t="str">
        <f>IF(COUNTIF('outliers per techniques &amp; human'!O$3:O$368,'outliers per techniques &amp; human'!W18),'outliers per techniques &amp; human'!W18,"")</f>
        <v>ag</v>
      </c>
    </row>
    <row r="18" spans="2:16" x14ac:dyDescent="0.25">
      <c r="B18" s="4" t="str">
        <f>IF(COUNTIF('outliers per techniques &amp; human'!A$3:A$28,'outliers per techniques &amp; human'!$W19),'outliers per techniques &amp; human'!$W19,"")</f>
        <v/>
      </c>
      <c r="C18" t="str">
        <f>IF(COUNTIF('outliers per techniques &amp; human'!B$3:B$28,'outliers per techniques &amp; human'!W19),'outliers per techniques &amp; human'!W19,"")</f>
        <v/>
      </c>
      <c r="D18" t="str">
        <f>IF(COUNTIF('outliers per techniques &amp; human'!C$3:C$38,'outliers per techniques &amp; human'!W19),'outliers per techniques &amp; human'!W19,"")</f>
        <v/>
      </c>
      <c r="E18" t="str">
        <f>IF(COUNTIF('outliers per techniques &amp; human'!D$3:D$38,'outliers per techniques &amp; human'!W19),'outliers per techniques &amp; human'!W19,"")</f>
        <v/>
      </c>
      <c r="F18" t="str">
        <f>IF(COUNTIF('outliers per techniques &amp; human'!E$3:E$24,'outliers per techniques &amp; human'!W19),'outliers per techniques &amp; human'!W19,"")</f>
        <v/>
      </c>
      <c r="G18" t="str">
        <f>IF(COUNTIF('outliers per techniques &amp; human'!F$3:F$24,'outliers per techniques &amp; human'!W19),'outliers per techniques &amp; human'!W19,"")</f>
        <v/>
      </c>
      <c r="H18" t="str">
        <f>IF(COUNTIF('outliers per techniques &amp; human'!G$3:G$42,'outliers per techniques &amp; human'!W19),'outliers per techniques &amp; human'!W19,"")</f>
        <v/>
      </c>
      <c r="I18" t="str">
        <f>IF(COUNTIF('outliers per techniques &amp; human'!H$3:H$42,'outliers per techniques &amp; human'!W19),'outliers per techniques &amp; human'!W19,"")</f>
        <v/>
      </c>
      <c r="J18" t="str">
        <f>IF(COUNTIF('outliers per techniques &amp; human'!I$3:I$21,'outliers per techniques &amp; human'!W19),'outliers per techniques &amp; human'!W19,"")</f>
        <v/>
      </c>
      <c r="K18" t="str">
        <f>IF(COUNTIF('outliers per techniques &amp; human'!J$3:J$47,'outliers per techniques &amp; human'!W19),'outliers per techniques &amp; human'!W19,"")</f>
        <v/>
      </c>
      <c r="L18" t="str">
        <f>IF(COUNTIF('outliers per techniques &amp; human'!K$3:K$78,'outliers per techniques &amp; human'!W19),'outliers per techniques &amp; human'!W19,"")</f>
        <v/>
      </c>
      <c r="M18" t="str">
        <f>IF(COUNTIF('outliers per techniques &amp; human'!L$3:L$17,'outliers per techniques &amp; human'!W19),'outliers per techniques &amp; human'!W19,"")</f>
        <v/>
      </c>
      <c r="N18" t="str">
        <f>IF(COUNTIF('outliers per techniques &amp; human'!M$3:M$200,'outliers per techniques &amp; human'!W19),'outliers per techniques &amp; human'!W19,"")</f>
        <v>hr</v>
      </c>
      <c r="O18" t="str">
        <f>IF(COUNTIF('outliers per techniques &amp; human'!N$3:N$25,'outliers per techniques &amp; human'!W19),'outliers per techniques &amp; human'!W19,"")</f>
        <v/>
      </c>
      <c r="P18" t="str">
        <f>IF(COUNTIF('outliers per techniques &amp; human'!O$3:O$368,'outliers per techniques &amp; human'!W19),'outliers per techniques &amp; human'!W19,"")</f>
        <v/>
      </c>
    </row>
    <row r="19" spans="2:16" x14ac:dyDescent="0.25">
      <c r="B19" s="4" t="str">
        <f>IF(COUNTIF('outliers per techniques &amp; human'!A$3:A$28,'outliers per techniques &amp; human'!$W20),'outliers per techniques &amp; human'!$W20,"")</f>
        <v/>
      </c>
      <c r="C19" t="str">
        <f>IF(COUNTIF('outliers per techniques &amp; human'!B$3:B$28,'outliers per techniques &amp; human'!W20),'outliers per techniques &amp; human'!W20,"")</f>
        <v/>
      </c>
      <c r="D19" t="str">
        <f>IF(COUNTIF('outliers per techniques &amp; human'!C$3:C$38,'outliers per techniques &amp; human'!W20),'outliers per techniques &amp; human'!W20,"")</f>
        <v/>
      </c>
      <c r="E19" t="str">
        <f>IF(COUNTIF('outliers per techniques &amp; human'!D$3:D$38,'outliers per techniques &amp; human'!W20),'outliers per techniques &amp; human'!W20,"")</f>
        <v/>
      </c>
      <c r="F19" t="str">
        <f>IF(COUNTIF('outliers per techniques &amp; human'!E$3:E$24,'outliers per techniques &amp; human'!W20),'outliers per techniques &amp; human'!W20,"")</f>
        <v/>
      </c>
      <c r="G19" t="str">
        <f>IF(COUNTIF('outliers per techniques &amp; human'!F$3:F$24,'outliers per techniques &amp; human'!W20),'outliers per techniques &amp; human'!W20,"")</f>
        <v/>
      </c>
      <c r="H19" t="str">
        <f>IF(COUNTIF('outliers per techniques &amp; human'!G$3:G$42,'outliers per techniques &amp; human'!W20),'outliers per techniques &amp; human'!W20,"")</f>
        <v/>
      </c>
      <c r="I19" t="str">
        <f>IF(COUNTIF('outliers per techniques &amp; human'!H$3:H$42,'outliers per techniques &amp; human'!W20),'outliers per techniques &amp; human'!W20,"")</f>
        <v/>
      </c>
      <c r="J19" t="str">
        <f>IF(COUNTIF('outliers per techniques &amp; human'!I$3:I$21,'outliers per techniques &amp; human'!W20),'outliers per techniques &amp; human'!W20,"")</f>
        <v/>
      </c>
      <c r="K19" t="str">
        <f>IF(COUNTIF('outliers per techniques &amp; human'!J$3:J$47,'outliers per techniques &amp; human'!W20),'outliers per techniques &amp; human'!W20,"")</f>
        <v/>
      </c>
      <c r="L19" t="str">
        <f>IF(COUNTIF('outliers per techniques &amp; human'!K$3:K$78,'outliers per techniques &amp; human'!W20),'outliers per techniques &amp; human'!W20,"")</f>
        <v/>
      </c>
      <c r="M19" t="str">
        <f>IF(COUNTIF('outliers per techniques &amp; human'!L$3:L$17,'outliers per techniques &amp; human'!W20),'outliers per techniques &amp; human'!W20,"")</f>
        <v/>
      </c>
      <c r="N19" t="str">
        <f>IF(COUNTIF('outliers per techniques &amp; human'!M$3:M$200,'outliers per techniques &amp; human'!W20),'outliers per techniques &amp; human'!W20,"")</f>
        <v/>
      </c>
      <c r="O19" t="str">
        <f>IF(COUNTIF('outliers per techniques &amp; human'!N$3:N$25,'outliers per techniques &amp; human'!W20),'outliers per techniques &amp; human'!W20,"")</f>
        <v/>
      </c>
      <c r="P19" t="str">
        <f>IF(COUNTIF('outliers per techniques &amp; human'!O$3:O$368,'outliers per techniques &amp; human'!W20),'outliers per techniques &amp; human'!W20,"")</f>
        <v>schumpeter</v>
      </c>
    </row>
    <row r="20" spans="2:16" x14ac:dyDescent="0.25">
      <c r="B20" s="4" t="str">
        <f>IF(COUNTIF('outliers per techniques &amp; human'!A$3:A$28,'outliers per techniques &amp; human'!$W21),'outliers per techniques &amp; human'!$W21,"")</f>
        <v/>
      </c>
      <c r="C20" t="str">
        <f>IF(COUNTIF('outliers per techniques &amp; human'!B$3:B$28,'outliers per techniques &amp; human'!W21),'outliers per techniques &amp; human'!W21,"")</f>
        <v/>
      </c>
      <c r="D20" t="str">
        <f>IF(COUNTIF('outliers per techniques &amp; human'!C$3:C$38,'outliers per techniques &amp; human'!W21),'outliers per techniques &amp; human'!W21,"")</f>
        <v/>
      </c>
      <c r="E20" t="str">
        <f>IF(COUNTIF('outliers per techniques &amp; human'!D$3:D$38,'outliers per techniques &amp; human'!W21),'outliers per techniques &amp; human'!W21,"")</f>
        <v/>
      </c>
      <c r="F20" t="str">
        <f>IF(COUNTIF('outliers per techniques &amp; human'!E$3:E$24,'outliers per techniques &amp; human'!W21),'outliers per techniques &amp; human'!W21,"")</f>
        <v/>
      </c>
      <c r="G20" t="str">
        <f>IF(COUNTIF('outliers per techniques &amp; human'!F$3:F$24,'outliers per techniques &amp; human'!W21),'outliers per techniques &amp; human'!W21,"")</f>
        <v/>
      </c>
      <c r="H20" t="str">
        <f>IF(COUNTIF('outliers per techniques &amp; human'!G$3:G$42,'outliers per techniques &amp; human'!W21),'outliers per techniques &amp; human'!W21,"")</f>
        <v/>
      </c>
      <c r="I20" t="str">
        <f>IF(COUNTIF('outliers per techniques &amp; human'!H$3:H$42,'outliers per techniques &amp; human'!W21),'outliers per techniques &amp; human'!W21,"")</f>
        <v/>
      </c>
      <c r="J20" t="str">
        <f>IF(COUNTIF('outliers per techniques &amp; human'!I$3:I$21,'outliers per techniques &amp; human'!W21),'outliers per techniques &amp; human'!W21,"")</f>
        <v/>
      </c>
      <c r="K20" t="str">
        <f>IF(COUNTIF('outliers per techniques &amp; human'!J$3:J$47,'outliers per techniques &amp; human'!W21),'outliers per techniques &amp; human'!W21,"")</f>
        <v/>
      </c>
      <c r="L20" t="str">
        <f>IF(COUNTIF('outliers per techniques &amp; human'!K$3:K$78,'outliers per techniques &amp; human'!W21),'outliers per techniques &amp; human'!W21,"")</f>
        <v/>
      </c>
      <c r="M20" t="str">
        <f>IF(COUNTIF('outliers per techniques &amp; human'!L$3:L$17,'outliers per techniques &amp; human'!W21),'outliers per techniques &amp; human'!W21,"")</f>
        <v/>
      </c>
      <c r="N20" t="str">
        <f>IF(COUNTIF('outliers per techniques &amp; human'!M$3:M$200,'outliers per techniques &amp; human'!W21),'outliers per techniques &amp; human'!W21,"")</f>
        <v/>
      </c>
      <c r="O20" t="str">
        <f>IF(COUNTIF('outliers per techniques &amp; human'!N$3:N$25,'outliers per techniques &amp; human'!W21),'outliers per techniques &amp; human'!W21,"")</f>
        <v/>
      </c>
      <c r="P20" t="str">
        <f>IF(COUNTIF('outliers per techniques &amp; human'!O$3:O$368,'outliers per techniques &amp; human'!W21),'outliers per techniques &amp; human'!W21,"")</f>
        <v>organisationssoziologie</v>
      </c>
    </row>
    <row r="21" spans="2:16" x14ac:dyDescent="0.25">
      <c r="B21" s="4" t="str">
        <f>IF(COUNTIF('outliers per techniques &amp; human'!A$3:A$28,'outliers per techniques &amp; human'!$W22),'outliers per techniques &amp; human'!$W22,"")</f>
        <v/>
      </c>
      <c r="C21" t="str">
        <f>IF(COUNTIF('outliers per techniques &amp; human'!B$3:B$28,'outliers per techniques &amp; human'!W22),'outliers per techniques &amp; human'!W22,"")</f>
        <v/>
      </c>
      <c r="D21" t="str">
        <f>IF(COUNTIF('outliers per techniques &amp; human'!C$3:C$38,'outliers per techniques &amp; human'!W22),'outliers per techniques &amp; human'!W22,"")</f>
        <v/>
      </c>
      <c r="E21" t="str">
        <f>IF(COUNTIF('outliers per techniques &amp; human'!D$3:D$38,'outliers per techniques &amp; human'!W22),'outliers per techniques &amp; human'!W22,"")</f>
        <v/>
      </c>
      <c r="F21" t="str">
        <f>IF(COUNTIF('outliers per techniques &amp; human'!E$3:E$24,'outliers per techniques &amp; human'!W22),'outliers per techniques &amp; human'!W22,"")</f>
        <v/>
      </c>
      <c r="G21" t="str">
        <f>IF(COUNTIF('outliers per techniques &amp; human'!F$3:F$24,'outliers per techniques &amp; human'!W22),'outliers per techniques &amp; human'!W22,"")</f>
        <v/>
      </c>
      <c r="H21" t="str">
        <f>IF(COUNTIF('outliers per techniques &amp; human'!G$3:G$42,'outliers per techniques &amp; human'!W22),'outliers per techniques &amp; human'!W22,"")</f>
        <v/>
      </c>
      <c r="I21" t="str">
        <f>IF(COUNTIF('outliers per techniques &amp; human'!H$3:H$42,'outliers per techniques &amp; human'!W22),'outliers per techniques &amp; human'!W22,"")</f>
        <v/>
      </c>
      <c r="J21" t="str">
        <f>IF(COUNTIF('outliers per techniques &amp; human'!I$3:I$21,'outliers per techniques &amp; human'!W22),'outliers per techniques &amp; human'!W22,"")</f>
        <v/>
      </c>
      <c r="K21" t="str">
        <f>IF(COUNTIF('outliers per techniques &amp; human'!J$3:J$47,'outliers per techniques &amp; human'!W22),'outliers per techniques &amp; human'!W22,"")</f>
        <v/>
      </c>
      <c r="L21" t="str">
        <f>IF(COUNTIF('outliers per techniques &amp; human'!K$3:K$78,'outliers per techniques &amp; human'!W22),'outliers per techniques &amp; human'!W22,"")</f>
        <v/>
      </c>
      <c r="M21" t="str">
        <f>IF(COUNTIF('outliers per techniques &amp; human'!L$3:L$17,'outliers per techniques &amp; human'!W22),'outliers per techniques &amp; human'!W22,"")</f>
        <v/>
      </c>
      <c r="N21" t="str">
        <f>IF(COUNTIF('outliers per techniques &amp; human'!M$3:M$200,'outliers per techniques &amp; human'!W22),'outliers per techniques &amp; human'!W22,"")</f>
        <v/>
      </c>
      <c r="O21" t="str">
        <f>IF(COUNTIF('outliers per techniques &amp; human'!N$3:N$25,'outliers per techniques &amp; human'!W22),'outliers per techniques &amp; human'!W22,"")</f>
        <v/>
      </c>
      <c r="P21" t="str">
        <f>IF(COUNTIF('outliers per techniques &amp; human'!O$3:O$368,'outliers per techniques &amp; human'!W22),'outliers per techniques &amp; human'!W22,"")</f>
        <v>religionssoziologie</v>
      </c>
    </row>
    <row r="22" spans="2:16" x14ac:dyDescent="0.25">
      <c r="B22" s="4" t="str">
        <f>IF(COUNTIF('outliers per techniques &amp; human'!A$3:A$28,'outliers per techniques &amp; human'!$W23),'outliers per techniques &amp; human'!$W23,"")</f>
        <v/>
      </c>
      <c r="C22" t="str">
        <f>IF(COUNTIF('outliers per techniques &amp; human'!B$3:B$28,'outliers per techniques &amp; human'!W23),'outliers per techniques &amp; human'!W23,"")</f>
        <v/>
      </c>
      <c r="D22" t="str">
        <f>IF(COUNTIF('outliers per techniques &amp; human'!C$3:C$38,'outliers per techniques &amp; human'!W23),'outliers per techniques &amp; human'!W23,"")</f>
        <v/>
      </c>
      <c r="E22" t="str">
        <f>IF(COUNTIF('outliers per techniques &amp; human'!D$3:D$38,'outliers per techniques &amp; human'!W23),'outliers per techniques &amp; human'!W23,"")</f>
        <v/>
      </c>
      <c r="F22" t="str">
        <f>IF(COUNTIF('outliers per techniques &amp; human'!E$3:E$24,'outliers per techniques &amp; human'!W23),'outliers per techniques &amp; human'!W23,"")</f>
        <v/>
      </c>
      <c r="G22" t="str">
        <f>IF(COUNTIF('outliers per techniques &amp; human'!F$3:F$24,'outliers per techniques &amp; human'!W23),'outliers per techniques &amp; human'!W23,"")</f>
        <v/>
      </c>
      <c r="H22" t="str">
        <f>IF(COUNTIF('outliers per techniques &amp; human'!G$3:G$42,'outliers per techniques &amp; human'!W23),'outliers per techniques &amp; human'!W23,"")</f>
        <v/>
      </c>
      <c r="I22" t="str">
        <f>IF(COUNTIF('outliers per techniques &amp; human'!H$3:H$42,'outliers per techniques &amp; human'!W23),'outliers per techniques &amp; human'!W23,"")</f>
        <v/>
      </c>
      <c r="J22" t="str">
        <f>IF(COUNTIF('outliers per techniques &amp; human'!I$3:I$21,'outliers per techniques &amp; human'!W23),'outliers per techniques &amp; human'!W23,"")</f>
        <v/>
      </c>
      <c r="K22" t="str">
        <f>IF(COUNTIF('outliers per techniques &amp; human'!J$3:J$47,'outliers per techniques &amp; human'!W23),'outliers per techniques &amp; human'!W23,"")</f>
        <v/>
      </c>
      <c r="L22" t="str">
        <f>IF(COUNTIF('outliers per techniques &amp; human'!K$3:K$78,'outliers per techniques &amp; human'!W23),'outliers per techniques &amp; human'!W23,"")</f>
        <v/>
      </c>
      <c r="M22" t="str">
        <f>IF(COUNTIF('outliers per techniques &amp; human'!L$3:L$17,'outliers per techniques &amp; human'!W23),'outliers per techniques &amp; human'!W23,"")</f>
        <v/>
      </c>
      <c r="N22" t="str">
        <f>IF(COUNTIF('outliers per techniques &amp; human'!M$3:M$200,'outliers per techniques &amp; human'!W23),'outliers per techniques &amp; human'!W23,"")</f>
        <v>scglib</v>
      </c>
      <c r="O22" t="str">
        <f>IF(COUNTIF('outliers per techniques &amp; human'!N$3:N$25,'outliers per techniques &amp; human'!W23),'outliers per techniques &amp; human'!W23,"")</f>
        <v/>
      </c>
      <c r="P22" t="str">
        <f>IF(COUNTIF('outliers per techniques &amp; human'!O$3:O$368,'outliers per techniques &amp; human'!W23),'outliers per techniques &amp; human'!W23,"")</f>
        <v/>
      </c>
    </row>
    <row r="23" spans="2:16" x14ac:dyDescent="0.25">
      <c r="B23" s="4" t="str">
        <f>IF(COUNTIF('outliers per techniques &amp; human'!A$3:A$28,'outliers per techniques &amp; human'!$W24),'outliers per techniques &amp; human'!$W24,"")</f>
        <v/>
      </c>
      <c r="C23" t="str">
        <f>IF(COUNTIF('outliers per techniques &amp; human'!B$3:B$28,'outliers per techniques &amp; human'!W24),'outliers per techniques &amp; human'!W24,"")</f>
        <v/>
      </c>
      <c r="D23" t="str">
        <f>IF(COUNTIF('outliers per techniques &amp; human'!C$3:C$38,'outliers per techniques &amp; human'!W24),'outliers per techniques &amp; human'!W24,"")</f>
        <v/>
      </c>
      <c r="E23" t="str">
        <f>IF(COUNTIF('outliers per techniques &amp; human'!D$3:D$38,'outliers per techniques &amp; human'!W24),'outliers per techniques &amp; human'!W24,"")</f>
        <v/>
      </c>
      <c r="F23" t="str">
        <f>IF(COUNTIF('outliers per techniques &amp; human'!E$3:E$24,'outliers per techniques &amp; human'!W24),'outliers per techniques &amp; human'!W24,"")</f>
        <v/>
      </c>
      <c r="G23" t="str">
        <f>IF(COUNTIF('outliers per techniques &amp; human'!F$3:F$24,'outliers per techniques &amp; human'!W24),'outliers per techniques &amp; human'!W24,"")</f>
        <v/>
      </c>
      <c r="H23" t="str">
        <f>IF(COUNTIF('outliers per techniques &amp; human'!G$3:G$42,'outliers per techniques &amp; human'!W24),'outliers per techniques &amp; human'!W24,"")</f>
        <v/>
      </c>
      <c r="I23" t="str">
        <f>IF(COUNTIF('outliers per techniques &amp; human'!H$3:H$42,'outliers per techniques &amp; human'!W24),'outliers per techniques &amp; human'!W24,"")</f>
        <v/>
      </c>
      <c r="J23" t="str">
        <f>IF(COUNTIF('outliers per techniques &amp; human'!I$3:I$21,'outliers per techniques &amp; human'!W24),'outliers per techniques &amp; human'!W24,"")</f>
        <v/>
      </c>
      <c r="K23" t="str">
        <f>IF(COUNTIF('outliers per techniques &amp; human'!J$3:J$47,'outliers per techniques &amp; human'!W24),'outliers per techniques &amp; human'!W24,"")</f>
        <v/>
      </c>
      <c r="L23" t="str">
        <f>IF(COUNTIF('outliers per techniques &amp; human'!K$3:K$78,'outliers per techniques &amp; human'!W24),'outliers per techniques &amp; human'!W24,"")</f>
        <v/>
      </c>
      <c r="M23" t="str">
        <f>IF(COUNTIF('outliers per techniques &amp; human'!L$3:L$17,'outliers per techniques &amp; human'!W24),'outliers per techniques &amp; human'!W24,"")</f>
        <v/>
      </c>
      <c r="N23" t="str">
        <f>IF(COUNTIF('outliers per techniques &amp; human'!M$3:M$200,'outliers per techniques &amp; human'!W24),'outliers per techniques &amp; human'!W24,"")</f>
        <v>andragogik</v>
      </c>
      <c r="O23" t="str">
        <f>IF(COUNTIF('outliers per techniques &amp; human'!N$3:N$25,'outliers per techniques &amp; human'!W24),'outliers per techniques &amp; human'!W24,"")</f>
        <v>andragogik</v>
      </c>
      <c r="P23" t="str">
        <f>IF(COUNTIF('outliers per techniques &amp; human'!O$3:O$368,'outliers per techniques &amp; human'!W24),'outliers per techniques &amp; human'!W24,"")</f>
        <v>andragogik</v>
      </c>
    </row>
    <row r="24" spans="2:16" x14ac:dyDescent="0.25">
      <c r="B24" s="4" t="str">
        <f>IF(COUNTIF('outliers per techniques &amp; human'!A$3:A$28,'outliers per techniques &amp; human'!$W25),'outliers per techniques &amp; human'!$W25,"")</f>
        <v/>
      </c>
      <c r="C24" t="str">
        <f>IF(COUNTIF('outliers per techniques &amp; human'!B$3:B$28,'outliers per techniques &amp; human'!W25),'outliers per techniques &amp; human'!W25,"")</f>
        <v/>
      </c>
      <c r="D24" t="str">
        <f>IF(COUNTIF('outliers per techniques &amp; human'!C$3:C$38,'outliers per techniques &amp; human'!W25),'outliers per techniques &amp; human'!W25,"")</f>
        <v/>
      </c>
      <c r="E24" t="str">
        <f>IF(COUNTIF('outliers per techniques &amp; human'!D$3:D$38,'outliers per techniques &amp; human'!W25),'outliers per techniques &amp; human'!W25,"")</f>
        <v/>
      </c>
      <c r="F24" t="str">
        <f>IF(COUNTIF('outliers per techniques &amp; human'!E$3:E$24,'outliers per techniques &amp; human'!W25),'outliers per techniques &amp; human'!W25,"")</f>
        <v>institutionalismus</v>
      </c>
      <c r="G24" t="str">
        <f>IF(COUNTIF('outliers per techniques &amp; human'!F$3:F$24,'outliers per techniques &amp; human'!W25),'outliers per techniques &amp; human'!W25,"")</f>
        <v/>
      </c>
      <c r="H24" t="str">
        <f>IF(COUNTIF('outliers per techniques &amp; human'!G$3:G$42,'outliers per techniques &amp; human'!W25),'outliers per techniques &amp; human'!W25,"")</f>
        <v>institutionalismus</v>
      </c>
      <c r="I24" t="str">
        <f>IF(COUNTIF('outliers per techniques &amp; human'!H$3:H$42,'outliers per techniques &amp; human'!W25),'outliers per techniques &amp; human'!W25,"")</f>
        <v/>
      </c>
      <c r="J24" t="str">
        <f>IF(COUNTIF('outliers per techniques &amp; human'!I$3:I$21,'outliers per techniques &amp; human'!W25),'outliers per techniques &amp; human'!W25,"")</f>
        <v/>
      </c>
      <c r="K24" t="str">
        <f>IF(COUNTIF('outliers per techniques &amp; human'!J$3:J$47,'outliers per techniques &amp; human'!W25),'outliers per techniques &amp; human'!W25,"")</f>
        <v/>
      </c>
      <c r="L24" t="str">
        <f>IF(COUNTIF('outliers per techniques &amp; human'!K$3:K$78,'outliers per techniques &amp; human'!W25),'outliers per techniques &amp; human'!W25,"")</f>
        <v/>
      </c>
      <c r="M24" t="str">
        <f>IF(COUNTIF('outliers per techniques &amp; human'!L$3:L$17,'outliers per techniques &amp; human'!W25),'outliers per techniques &amp; human'!W25,"")</f>
        <v/>
      </c>
      <c r="N24" t="str">
        <f>IF(COUNTIF('outliers per techniques &amp; human'!M$3:M$200,'outliers per techniques &amp; human'!W25),'outliers per techniques &amp; human'!W25,"")</f>
        <v/>
      </c>
      <c r="O24" t="str">
        <f>IF(COUNTIF('outliers per techniques &amp; human'!N$3:N$25,'outliers per techniques &amp; human'!W25),'outliers per techniques &amp; human'!W25,"")</f>
        <v/>
      </c>
      <c r="P24" t="str">
        <f>IF(COUNTIF('outliers per techniques &amp; human'!O$3:O$368,'outliers per techniques &amp; human'!W25),'outliers per techniques &amp; human'!W25,"")</f>
        <v/>
      </c>
    </row>
    <row r="25" spans="2:16" x14ac:dyDescent="0.25">
      <c r="B25" s="4" t="str">
        <f>IF(COUNTIF('outliers per techniques &amp; human'!A$3:A$28,'outliers per techniques &amp; human'!$W26),'outliers per techniques &amp; human'!$W26,"")</f>
        <v/>
      </c>
      <c r="C25" t="str">
        <f>IF(COUNTIF('outliers per techniques &amp; human'!B$3:B$28,'outliers per techniques &amp; human'!W26),'outliers per techniques &amp; human'!W26,"")</f>
        <v/>
      </c>
      <c r="D25" t="str">
        <f>IF(COUNTIF('outliers per techniques &amp; human'!C$3:C$38,'outliers per techniques &amp; human'!W26),'outliers per techniques &amp; human'!W26,"")</f>
        <v/>
      </c>
      <c r="E25" t="str">
        <f>IF(COUNTIF('outliers per techniques &amp; human'!D$3:D$38,'outliers per techniques &amp; human'!W26),'outliers per techniques &amp; human'!W26,"")</f>
        <v/>
      </c>
      <c r="F25" t="str">
        <f>IF(COUNTIF('outliers per techniques &amp; human'!E$3:E$24,'outliers per techniques &amp; human'!W26),'outliers per techniques &amp; human'!W26,"")</f>
        <v/>
      </c>
      <c r="G25" t="str">
        <f>IF(COUNTIF('outliers per techniques &amp; human'!F$3:F$24,'outliers per techniques &amp; human'!W26),'outliers per techniques &amp; human'!W26,"")</f>
        <v/>
      </c>
      <c r="H25" t="str">
        <f>IF(COUNTIF('outliers per techniques &amp; human'!G$3:G$42,'outliers per techniques &amp; human'!W26),'outliers per techniques &amp; human'!W26,"")</f>
        <v/>
      </c>
      <c r="I25" t="str">
        <f>IF(COUNTIF('outliers per techniques &amp; human'!H$3:H$42,'outliers per techniques &amp; human'!W26),'outliers per techniques &amp; human'!W26,"")</f>
        <v/>
      </c>
      <c r="J25" t="str">
        <f>IF(COUNTIF('outliers per techniques &amp; human'!I$3:I$21,'outliers per techniques &amp; human'!W26),'outliers per techniques &amp; human'!W26,"")</f>
        <v/>
      </c>
      <c r="K25" t="str">
        <f>IF(COUNTIF('outliers per techniques &amp; human'!J$3:J$47,'outliers per techniques &amp; human'!W26),'outliers per techniques &amp; human'!W26,"")</f>
        <v/>
      </c>
      <c r="L25" t="str">
        <f>IF(COUNTIF('outliers per techniques &amp; human'!K$3:K$78,'outliers per techniques &amp; human'!W26),'outliers per techniques &amp; human'!W26,"")</f>
        <v/>
      </c>
      <c r="M25" t="str">
        <f>IF(COUNTIF('outliers per techniques &amp; human'!L$3:L$17,'outliers per techniques &amp; human'!W26),'outliers per techniques &amp; human'!W26,"")</f>
        <v/>
      </c>
      <c r="N25" t="str">
        <f>IF(COUNTIF('outliers per techniques &amp; human'!M$3:M$200,'outliers per techniques &amp; human'!W26),'outliers per techniques &amp; human'!W26,"")</f>
        <v>meer</v>
      </c>
      <c r="O25" t="str">
        <f>IF(COUNTIF('outliers per techniques &amp; human'!N$3:N$25,'outliers per techniques &amp; human'!W26),'outliers per techniques &amp; human'!W26,"")</f>
        <v/>
      </c>
      <c r="P25" t="str">
        <f>IF(COUNTIF('outliers per techniques &amp; human'!O$3:O$368,'outliers per techniques &amp; human'!W26),'outliers per techniques &amp; human'!W26,"")</f>
        <v/>
      </c>
    </row>
    <row r="26" spans="2:16" x14ac:dyDescent="0.25">
      <c r="B26" s="4" t="str">
        <f>IF(COUNTIF('outliers per techniques &amp; human'!A$3:A$28,'outliers per techniques &amp; human'!$W27),'outliers per techniques &amp; human'!$W27,"")</f>
        <v/>
      </c>
      <c r="C26" t="str">
        <f>IF(COUNTIF('outliers per techniques &amp; human'!B$3:B$28,'outliers per techniques &amp; human'!W27),'outliers per techniques &amp; human'!W27,"")</f>
        <v/>
      </c>
      <c r="D26" t="str">
        <f>IF(COUNTIF('outliers per techniques &amp; human'!C$3:C$38,'outliers per techniques &amp; human'!W27),'outliers per techniques &amp; human'!W27,"")</f>
        <v/>
      </c>
      <c r="E26" t="str">
        <f>IF(COUNTIF('outliers per techniques &amp; human'!D$3:D$38,'outliers per techniques &amp; human'!W27),'outliers per techniques &amp; human'!W27,"")</f>
        <v/>
      </c>
      <c r="F26" t="str">
        <f>IF(COUNTIF('outliers per techniques &amp; human'!E$3:E$24,'outliers per techniques &amp; human'!W27),'outliers per techniques &amp; human'!W27,"")</f>
        <v/>
      </c>
      <c r="G26" t="str">
        <f>IF(COUNTIF('outliers per techniques &amp; human'!F$3:F$24,'outliers per techniques &amp; human'!W27),'outliers per techniques &amp; human'!W27,"")</f>
        <v/>
      </c>
      <c r="H26" t="str">
        <f>IF(COUNTIF('outliers per techniques &amp; human'!G$3:G$42,'outliers per techniques &amp; human'!W27),'outliers per techniques &amp; human'!W27,"")</f>
        <v/>
      </c>
      <c r="I26" t="str">
        <f>IF(COUNTIF('outliers per techniques &amp; human'!H$3:H$42,'outliers per techniques &amp; human'!W27),'outliers per techniques &amp; human'!W27,"")</f>
        <v/>
      </c>
      <c r="J26" t="str">
        <f>IF(COUNTIF('outliers per techniques &amp; human'!I$3:I$21,'outliers per techniques &amp; human'!W27),'outliers per techniques &amp; human'!W27,"")</f>
        <v/>
      </c>
      <c r="K26" t="str">
        <f>IF(COUNTIF('outliers per techniques &amp; human'!J$3:J$47,'outliers per techniques &amp; human'!W27),'outliers per techniques &amp; human'!W27,"")</f>
        <v/>
      </c>
      <c r="L26" t="str">
        <f>IF(COUNTIF('outliers per techniques &amp; human'!K$3:K$78,'outliers per techniques &amp; human'!W27),'outliers per techniques &amp; human'!W27,"")</f>
        <v>uurimus</v>
      </c>
      <c r="M26" t="str">
        <f>IF(COUNTIF('outliers per techniques &amp; human'!L$3:L$17,'outliers per techniques &amp; human'!W27),'outliers per techniques &amp; human'!W27,"")</f>
        <v/>
      </c>
      <c r="N26" t="str">
        <f>IF(COUNTIF('outliers per techniques &amp; human'!M$3:M$200,'outliers per techniques &amp; human'!W27),'outliers per techniques &amp; human'!W27,"")</f>
        <v/>
      </c>
      <c r="O26" t="str">
        <f>IF(COUNTIF('outliers per techniques &amp; human'!N$3:N$25,'outliers per techniques &amp; human'!W27),'outliers per techniques &amp; human'!W27,"")</f>
        <v/>
      </c>
      <c r="P26" t="str">
        <f>IF(COUNTIF('outliers per techniques &amp; human'!O$3:O$368,'outliers per techniques &amp; human'!W27),'outliers per techniques &amp; human'!W27,"")</f>
        <v/>
      </c>
    </row>
    <row r="27" spans="2:16" x14ac:dyDescent="0.25">
      <c r="B27" s="4" t="str">
        <f>IF(COUNTIF('outliers per techniques &amp; human'!A$3:A$28,'outliers per techniques &amp; human'!$W28),'outliers per techniques &amp; human'!$W28,"")</f>
        <v/>
      </c>
      <c r="C27" t="str">
        <f>IF(COUNTIF('outliers per techniques &amp; human'!B$3:B$28,'outliers per techniques &amp; human'!W28),'outliers per techniques &amp; human'!W28,"")</f>
        <v/>
      </c>
      <c r="D27" t="str">
        <f>IF(COUNTIF('outliers per techniques &amp; human'!C$3:C$38,'outliers per techniques &amp; human'!W28),'outliers per techniques &amp; human'!W28,"")</f>
        <v/>
      </c>
      <c r="E27" t="str">
        <f>IF(COUNTIF('outliers per techniques &amp; human'!D$3:D$38,'outliers per techniques &amp; human'!W28),'outliers per techniques &amp; human'!W28,"")</f>
        <v/>
      </c>
      <c r="F27" t="str">
        <f>IF(COUNTIF('outliers per techniques &amp; human'!E$3:E$24,'outliers per techniques &amp; human'!W28),'outliers per techniques &amp; human'!W28,"")</f>
        <v/>
      </c>
      <c r="G27" t="str">
        <f>IF(COUNTIF('outliers per techniques &amp; human'!F$3:F$24,'outliers per techniques &amp; human'!W28),'outliers per techniques &amp; human'!W28,"")</f>
        <v/>
      </c>
      <c r="H27" t="str">
        <f>IF(COUNTIF('outliers per techniques &amp; human'!G$3:G$42,'outliers per techniques &amp; human'!W28),'outliers per techniques &amp; human'!W28,"")</f>
        <v/>
      </c>
      <c r="I27" t="str">
        <f>IF(COUNTIF('outliers per techniques &amp; human'!H$3:H$42,'outliers per techniques &amp; human'!W28),'outliers per techniques &amp; human'!W28,"")</f>
        <v/>
      </c>
      <c r="J27" t="str">
        <f>IF(COUNTIF('outliers per techniques &amp; human'!I$3:I$21,'outliers per techniques &amp; human'!W28),'outliers per techniques &amp; human'!W28,"")</f>
        <v/>
      </c>
      <c r="K27" t="str">
        <f>IF(COUNTIF('outliers per techniques &amp; human'!J$3:J$47,'outliers per techniques &amp; human'!W28),'outliers per techniques &amp; human'!W28,"")</f>
        <v/>
      </c>
      <c r="L27" t="str">
        <f>IF(COUNTIF('outliers per techniques &amp; human'!K$3:K$78,'outliers per techniques &amp; human'!W28),'outliers per techniques &amp; human'!W28,"")</f>
        <v/>
      </c>
      <c r="M27" t="str">
        <f>IF(COUNTIF('outliers per techniques &amp; human'!L$3:L$17,'outliers per techniques &amp; human'!W28),'outliers per techniques &amp; human'!W28,"")</f>
        <v/>
      </c>
      <c r="N27" t="str">
        <f>IF(COUNTIF('outliers per techniques &amp; human'!M$3:M$200,'outliers per techniques &amp; human'!W28),'outliers per techniques &amp; human'!W28,"")</f>
        <v/>
      </c>
      <c r="O27" t="str">
        <f>IF(COUNTIF('outliers per techniques &amp; human'!N$3:N$25,'outliers per techniques &amp; human'!W28),'outliers per techniques &amp; human'!W28,"")</f>
        <v/>
      </c>
      <c r="P27" t="str">
        <f>IF(COUNTIF('outliers per techniques &amp; human'!O$3:O$368,'outliers per techniques &amp; human'!W28),'outliers per techniques &amp; human'!W28,"")</f>
        <v>negri</v>
      </c>
    </row>
    <row r="28" spans="2:16" x14ac:dyDescent="0.25">
      <c r="B28" s="4" t="str">
        <f>IF(COUNTIF('outliers per techniques &amp; human'!A$3:A$28,'outliers per techniques &amp; human'!$W29),'outliers per techniques &amp; human'!$W29,"")</f>
        <v/>
      </c>
      <c r="C28" t="str">
        <f>IF(COUNTIF('outliers per techniques &amp; human'!B$3:B$28,'outliers per techniques &amp; human'!W29),'outliers per techniques &amp; human'!W29,"")</f>
        <v/>
      </c>
      <c r="D28" t="str">
        <f>IF(COUNTIF('outliers per techniques &amp; human'!C$3:C$38,'outliers per techniques &amp; human'!W29),'outliers per techniques &amp; human'!W29,"")</f>
        <v/>
      </c>
      <c r="E28" t="str">
        <f>IF(COUNTIF('outliers per techniques &amp; human'!D$3:D$38,'outliers per techniques &amp; human'!W29),'outliers per techniques &amp; human'!W29,"")</f>
        <v/>
      </c>
      <c r="F28" t="str">
        <f>IF(COUNTIF('outliers per techniques &amp; human'!E$3:E$24,'outliers per techniques &amp; human'!W29),'outliers per techniques &amp; human'!W29,"")</f>
        <v/>
      </c>
      <c r="G28" t="str">
        <f>IF(COUNTIF('outliers per techniques &amp; human'!F$3:F$24,'outliers per techniques &amp; human'!W29),'outliers per techniques &amp; human'!W29,"")</f>
        <v/>
      </c>
      <c r="H28" t="str">
        <f>IF(COUNTIF('outliers per techniques &amp; human'!G$3:G$42,'outliers per techniques &amp; human'!W29),'outliers per techniques &amp; human'!W29,"")</f>
        <v/>
      </c>
      <c r="I28" t="str">
        <f>IF(COUNTIF('outliers per techniques &amp; human'!H$3:H$42,'outliers per techniques &amp; human'!W29),'outliers per techniques &amp; human'!W29,"")</f>
        <v/>
      </c>
      <c r="J28" t="str">
        <f>IF(COUNTIF('outliers per techniques &amp; human'!I$3:I$21,'outliers per techniques &amp; human'!W29),'outliers per techniques &amp; human'!W29,"")</f>
        <v/>
      </c>
      <c r="K28" t="str">
        <f>IF(COUNTIF('outliers per techniques &amp; human'!J$3:J$47,'outliers per techniques &amp; human'!W29),'outliers per techniques &amp; human'!W29,"")</f>
        <v/>
      </c>
      <c r="L28" t="str">
        <f>IF(COUNTIF('outliers per techniques &amp; human'!K$3:K$78,'outliers per techniques &amp; human'!W29),'outliers per techniques &amp; human'!W29,"")</f>
        <v/>
      </c>
      <c r="M28" t="str">
        <f>IF(COUNTIF('outliers per techniques &amp; human'!L$3:L$17,'outliers per techniques &amp; human'!W29),'outliers per techniques &amp; human'!W29,"")</f>
        <v/>
      </c>
      <c r="N28" t="str">
        <f>IF(COUNTIF('outliers per techniques &amp; human'!M$3:M$200,'outliers per techniques &amp; human'!W29),'outliers per techniques &amp; human'!W29,"")</f>
        <v>gedachtnis</v>
      </c>
      <c r="O28" t="str">
        <f>IF(COUNTIF('outliers per techniques &amp; human'!N$3:N$25,'outliers per techniques &amp; human'!W29),'outliers per techniques &amp; human'!W29,"")</f>
        <v/>
      </c>
      <c r="P28" t="str">
        <f>IF(COUNTIF('outliers per techniques &amp; human'!O$3:O$368,'outliers per techniques &amp; human'!W29),'outliers per techniques &amp; human'!W29,"")</f>
        <v/>
      </c>
    </row>
    <row r="29" spans="2:16" x14ac:dyDescent="0.25">
      <c r="B29" s="4" t="str">
        <f>IF(COUNTIF('outliers per techniques &amp; human'!A$3:A$28,'outliers per techniques &amp; human'!$W30),'outliers per techniques &amp; human'!$W30,"")</f>
        <v/>
      </c>
      <c r="C29" t="str">
        <f>IF(COUNTIF('outliers per techniques &amp; human'!B$3:B$28,'outliers per techniques &amp; human'!W30),'outliers per techniques &amp; human'!W30,"")</f>
        <v/>
      </c>
      <c r="D29" t="str">
        <f>IF(COUNTIF('outliers per techniques &amp; human'!C$3:C$38,'outliers per techniques &amp; human'!W30),'outliers per techniques &amp; human'!W30,"")</f>
        <v/>
      </c>
      <c r="E29" t="str">
        <f>IF(COUNTIF('outliers per techniques &amp; human'!D$3:D$38,'outliers per techniques &amp; human'!W30),'outliers per techniques &amp; human'!W30,"")</f>
        <v/>
      </c>
      <c r="F29" t="str">
        <f>IF(COUNTIF('outliers per techniques &amp; human'!E$3:E$24,'outliers per techniques &amp; human'!W30),'outliers per techniques &amp; human'!W30,"")</f>
        <v/>
      </c>
      <c r="G29" t="str">
        <f>IF(COUNTIF('outliers per techniques &amp; human'!F$3:F$24,'outliers per techniques &amp; human'!W30),'outliers per techniques &amp; human'!W30,"")</f>
        <v/>
      </c>
      <c r="H29" t="str">
        <f>IF(COUNTIF('outliers per techniques &amp; human'!G$3:G$42,'outliers per techniques &amp; human'!W30),'outliers per techniques &amp; human'!W30,"")</f>
        <v/>
      </c>
      <c r="I29" t="str">
        <f>IF(COUNTIF('outliers per techniques &amp; human'!H$3:H$42,'outliers per techniques &amp; human'!W30),'outliers per techniques &amp; human'!W30,"")</f>
        <v/>
      </c>
      <c r="J29" t="str">
        <f>IF(COUNTIF('outliers per techniques &amp; human'!I$3:I$21,'outliers per techniques &amp; human'!W30),'outliers per techniques &amp; human'!W30,"")</f>
        <v/>
      </c>
      <c r="K29" t="str">
        <f>IF(COUNTIF('outliers per techniques &amp; human'!J$3:J$47,'outliers per techniques &amp; human'!W30),'outliers per techniques &amp; human'!W30,"")</f>
        <v/>
      </c>
      <c r="L29" t="str">
        <f>IF(COUNTIF('outliers per techniques &amp; human'!K$3:K$78,'outliers per techniques &amp; human'!W30),'outliers per techniques &amp; human'!W30,"")</f>
        <v/>
      </c>
      <c r="M29" t="str">
        <f>IF(COUNTIF('outliers per techniques &amp; human'!L$3:L$17,'outliers per techniques &amp; human'!W30),'outliers per techniques &amp; human'!W30,"")</f>
        <v/>
      </c>
      <c r="N29" t="str">
        <f>IF(COUNTIF('outliers per techniques &amp; human'!M$3:M$200,'outliers per techniques &amp; human'!W30),'outliers per techniques &amp; human'!W30,"")</f>
        <v/>
      </c>
      <c r="O29" t="str">
        <f>IF(COUNTIF('outliers per techniques &amp; human'!N$3:N$25,'outliers per techniques &amp; human'!W30),'outliers per techniques &amp; human'!W30,"")</f>
        <v/>
      </c>
      <c r="P29" t="str">
        <f>IF(COUNTIF('outliers per techniques &amp; human'!O$3:O$368,'outliers per techniques &amp; human'!W30),'outliers per techniques &amp; human'!W30,"")</f>
        <v>projektcontrolling</v>
      </c>
    </row>
    <row r="30" spans="2:16" x14ac:dyDescent="0.25">
      <c r="B30" s="4" t="str">
        <f>IF(COUNTIF('outliers per techniques &amp; human'!A$3:A$28,'outliers per techniques &amp; human'!$W31),'outliers per techniques &amp; human'!$W31,"")</f>
        <v/>
      </c>
      <c r="C30" t="str">
        <f>IF(COUNTIF('outliers per techniques &amp; human'!B$3:B$28,'outliers per techniques &amp; human'!W31),'outliers per techniques &amp; human'!W31,"")</f>
        <v/>
      </c>
      <c r="D30" t="str">
        <f>IF(COUNTIF('outliers per techniques &amp; human'!C$3:C$38,'outliers per techniques &amp; human'!W31),'outliers per techniques &amp; human'!W31,"")</f>
        <v/>
      </c>
      <c r="E30" t="str">
        <f>IF(COUNTIF('outliers per techniques &amp; human'!D$3:D$38,'outliers per techniques &amp; human'!W31),'outliers per techniques &amp; human'!W31,"")</f>
        <v/>
      </c>
      <c r="F30" t="str">
        <f>IF(COUNTIF('outliers per techniques &amp; human'!E$3:E$24,'outliers per techniques &amp; human'!W31),'outliers per techniques &amp; human'!W31,"")</f>
        <v/>
      </c>
      <c r="G30" t="str">
        <f>IF(COUNTIF('outliers per techniques &amp; human'!F$3:F$24,'outliers per techniques &amp; human'!W31),'outliers per techniques &amp; human'!W31,"")</f>
        <v/>
      </c>
      <c r="H30" t="str">
        <f>IF(COUNTIF('outliers per techniques &amp; human'!G$3:G$42,'outliers per techniques &amp; human'!W31),'outliers per techniques &amp; human'!W31,"")</f>
        <v/>
      </c>
      <c r="I30" t="str">
        <f>IF(COUNTIF('outliers per techniques &amp; human'!H$3:H$42,'outliers per techniques &amp; human'!W31),'outliers per techniques &amp; human'!W31,"")</f>
        <v/>
      </c>
      <c r="J30" t="str">
        <f>IF(COUNTIF('outliers per techniques &amp; human'!I$3:I$21,'outliers per techniques &amp; human'!W31),'outliers per techniques &amp; human'!W31,"")</f>
        <v/>
      </c>
      <c r="K30" t="str">
        <f>IF(COUNTIF('outliers per techniques &amp; human'!J$3:J$47,'outliers per techniques &amp; human'!W31),'outliers per techniques &amp; human'!W31,"")</f>
        <v/>
      </c>
      <c r="L30" t="str">
        <f>IF(COUNTIF('outliers per techniques &amp; human'!K$3:K$78,'outliers per techniques &amp; human'!W31),'outliers per techniques &amp; human'!W31,"")</f>
        <v/>
      </c>
      <c r="M30" t="str">
        <f>IF(COUNTIF('outliers per techniques &amp; human'!L$3:L$17,'outliers per techniques &amp; human'!W31),'outliers per techniques &amp; human'!W31,"")</f>
        <v/>
      </c>
      <c r="N30" t="str">
        <f>IF(COUNTIF('outliers per techniques &amp; human'!M$3:M$200,'outliers per techniques &amp; human'!W31),'outliers per techniques &amp; human'!W31,"")</f>
        <v/>
      </c>
      <c r="O30" t="str">
        <f>IF(COUNTIF('outliers per techniques &amp; human'!N$3:N$25,'outliers per techniques &amp; human'!W31),'outliers per techniques &amp; human'!W31,"")</f>
        <v/>
      </c>
      <c r="P30" t="str">
        <f>IF(COUNTIF('outliers per techniques &amp; human'!O$3:O$368,'outliers per techniques &amp; human'!W31),'outliers per techniques &amp; human'!W31,"")</f>
        <v>konfliktregelung</v>
      </c>
    </row>
    <row r="31" spans="2:16" x14ac:dyDescent="0.25">
      <c r="B31" s="4" t="str">
        <f>IF(COUNTIF('outliers per techniques &amp; human'!A$3:A$28,'outliers per techniques &amp; human'!$W32),'outliers per techniques &amp; human'!$W32,"")</f>
        <v/>
      </c>
      <c r="C31" t="str">
        <f>IF(COUNTIF('outliers per techniques &amp; human'!B$3:B$28,'outliers per techniques &amp; human'!W32),'outliers per techniques &amp; human'!W32,"")</f>
        <v/>
      </c>
      <c r="D31" t="str">
        <f>IF(COUNTIF('outliers per techniques &amp; human'!C$3:C$38,'outliers per techniques &amp; human'!W32),'outliers per techniques &amp; human'!W32,"")</f>
        <v/>
      </c>
      <c r="E31" t="str">
        <f>IF(COUNTIF('outliers per techniques &amp; human'!D$3:D$38,'outliers per techniques &amp; human'!W32),'outliers per techniques &amp; human'!W32,"")</f>
        <v/>
      </c>
      <c r="F31" t="str">
        <f>IF(COUNTIF('outliers per techniques &amp; human'!E$3:E$24,'outliers per techniques &amp; human'!W32),'outliers per techniques &amp; human'!W32,"")</f>
        <v/>
      </c>
      <c r="G31" t="str">
        <f>IF(COUNTIF('outliers per techniques &amp; human'!F$3:F$24,'outliers per techniques &amp; human'!W32),'outliers per techniques &amp; human'!W32,"")</f>
        <v/>
      </c>
      <c r="H31" t="str">
        <f>IF(COUNTIF('outliers per techniques &amp; human'!G$3:G$42,'outliers per techniques &amp; human'!W32),'outliers per techniques &amp; human'!W32,"")</f>
        <v/>
      </c>
      <c r="I31" t="str">
        <f>IF(COUNTIF('outliers per techniques &amp; human'!H$3:H$42,'outliers per techniques &amp; human'!W32),'outliers per techniques &amp; human'!W32,"")</f>
        <v/>
      </c>
      <c r="J31" t="str">
        <f>IF(COUNTIF('outliers per techniques &amp; human'!I$3:I$21,'outliers per techniques &amp; human'!W32),'outliers per techniques &amp; human'!W32,"")</f>
        <v/>
      </c>
      <c r="K31" t="str">
        <f>IF(COUNTIF('outliers per techniques &amp; human'!J$3:J$47,'outliers per techniques &amp; human'!W32),'outliers per techniques &amp; human'!W32,"")</f>
        <v/>
      </c>
      <c r="L31" t="str">
        <f>IF(COUNTIF('outliers per techniques &amp; human'!K$3:K$78,'outliers per techniques &amp; human'!W32),'outliers per techniques &amp; human'!W32,"")</f>
        <v/>
      </c>
      <c r="M31" t="str">
        <f>IF(COUNTIF('outliers per techniques &amp; human'!L$3:L$17,'outliers per techniques &amp; human'!W32),'outliers per techniques &amp; human'!W32,"")</f>
        <v/>
      </c>
      <c r="N31" t="str">
        <f>IF(COUNTIF('outliers per techniques &amp; human'!M$3:M$200,'outliers per techniques &amp; human'!W32),'outliers per techniques &amp; human'!W32,"")</f>
        <v/>
      </c>
      <c r="O31" t="str">
        <f>IF(COUNTIF('outliers per techniques &amp; human'!N$3:N$25,'outliers per techniques &amp; human'!W32),'outliers per techniques &amp; human'!W32,"")</f>
        <v/>
      </c>
      <c r="P31" t="str">
        <f>IF(COUNTIF('outliers per techniques &amp; human'!O$3:O$368,'outliers per techniques &amp; human'!W32),'outliers per techniques &amp; human'!W32,"")</f>
        <v>allmende</v>
      </c>
    </row>
    <row r="32" spans="2:16" x14ac:dyDescent="0.25">
      <c r="B32" s="4" t="str">
        <f>IF(COUNTIF('outliers per techniques &amp; human'!A$3:A$28,'outliers per techniques &amp; human'!$W33),'outliers per techniques &amp; human'!$W33,"")</f>
        <v/>
      </c>
      <c r="C32" t="str">
        <f>IF(COUNTIF('outliers per techniques &amp; human'!B$3:B$28,'outliers per techniques &amp; human'!W33),'outliers per techniques &amp; human'!W33,"")</f>
        <v/>
      </c>
      <c r="D32" t="str">
        <f>IF(COUNTIF('outliers per techniques &amp; human'!C$3:C$38,'outliers per techniques &amp; human'!W33),'outliers per techniques &amp; human'!W33,"")</f>
        <v>1800</v>
      </c>
      <c r="E32" t="str">
        <f>IF(COUNTIF('outliers per techniques &amp; human'!D$3:D$38,'outliers per techniques &amp; human'!W33),'outliers per techniques &amp; human'!W33,"")</f>
        <v/>
      </c>
      <c r="F32" t="str">
        <f>IF(COUNTIF('outliers per techniques &amp; human'!E$3:E$24,'outliers per techniques &amp; human'!W33),'outliers per techniques &amp; human'!W33,"")</f>
        <v/>
      </c>
      <c r="G32" t="str">
        <f>IF(COUNTIF('outliers per techniques &amp; human'!F$3:F$24,'outliers per techniques &amp; human'!W33),'outliers per techniques &amp; human'!W33,"")</f>
        <v/>
      </c>
      <c r="H32" t="str">
        <f>IF(COUNTIF('outliers per techniques &amp; human'!G$3:G$42,'outliers per techniques &amp; human'!W33),'outliers per techniques &amp; human'!W33,"")</f>
        <v/>
      </c>
      <c r="I32" t="str">
        <f>IF(COUNTIF('outliers per techniques &amp; human'!H$3:H$42,'outliers per techniques &amp; human'!W33),'outliers per techniques &amp; human'!W33,"")</f>
        <v/>
      </c>
      <c r="J32" t="str">
        <f>IF(COUNTIF('outliers per techniques &amp; human'!I$3:I$21,'outliers per techniques &amp; human'!W33),'outliers per techniques &amp; human'!W33,"")</f>
        <v/>
      </c>
      <c r="K32" t="str">
        <f>IF(COUNTIF('outliers per techniques &amp; human'!J$3:J$47,'outliers per techniques &amp; human'!W33),'outliers per techniques &amp; human'!W33,"")</f>
        <v/>
      </c>
      <c r="L32" t="str">
        <f>IF(COUNTIF('outliers per techniques &amp; human'!K$3:K$78,'outliers per techniques &amp; human'!W33),'outliers per techniques &amp; human'!W33,"")</f>
        <v/>
      </c>
      <c r="M32" t="str">
        <f>IF(COUNTIF('outliers per techniques &amp; human'!L$3:L$17,'outliers per techniques &amp; human'!W33),'outliers per techniques &amp; human'!W33,"")</f>
        <v/>
      </c>
      <c r="N32" t="str">
        <f>IF(COUNTIF('outliers per techniques &amp; human'!M$3:M$200,'outliers per techniques &amp; human'!W33),'outliers per techniques &amp; human'!W33,"")</f>
        <v/>
      </c>
      <c r="O32" t="str">
        <f>IF(COUNTIF('outliers per techniques &amp; human'!N$3:N$25,'outliers per techniques &amp; human'!W33),'outliers per techniques &amp; human'!W33,"")</f>
        <v/>
      </c>
      <c r="P32" t="str">
        <f>IF(COUNTIF('outliers per techniques &amp; human'!O$3:O$368,'outliers per techniques &amp; human'!W33),'outliers per techniques &amp; human'!W33,"")</f>
        <v/>
      </c>
    </row>
    <row r="33" spans="2:16" x14ac:dyDescent="0.25">
      <c r="B33" s="4" t="str">
        <f>IF(COUNTIF('outliers per techniques &amp; human'!A$3:A$28,'outliers per techniques &amp; human'!$W34),'outliers per techniques &amp; human'!$W34,"")</f>
        <v/>
      </c>
      <c r="C33" t="str">
        <f>IF(COUNTIF('outliers per techniques &amp; human'!B$3:B$28,'outliers per techniques &amp; human'!W34),'outliers per techniques &amp; human'!W34,"")</f>
        <v/>
      </c>
      <c r="D33" t="str">
        <f>IF(COUNTIF('outliers per techniques &amp; human'!C$3:C$38,'outliers per techniques &amp; human'!W34),'outliers per techniques &amp; human'!W34,"")</f>
        <v/>
      </c>
      <c r="E33" t="str">
        <f>IF(COUNTIF('outliers per techniques &amp; human'!D$3:D$38,'outliers per techniques &amp; human'!W34),'outliers per techniques &amp; human'!W34,"")</f>
        <v/>
      </c>
      <c r="F33" t="str">
        <f>IF(COUNTIF('outliers per techniques &amp; human'!E$3:E$24,'outliers per techniques &amp; human'!W34),'outliers per techniques &amp; human'!W34,"")</f>
        <v/>
      </c>
      <c r="G33" t="str">
        <f>IF(COUNTIF('outliers per techniques &amp; human'!F$3:F$24,'outliers per techniques &amp; human'!W34),'outliers per techniques &amp; human'!W34,"")</f>
        <v/>
      </c>
      <c r="H33" t="str">
        <f>IF(COUNTIF('outliers per techniques &amp; human'!G$3:G$42,'outliers per techniques &amp; human'!W34),'outliers per techniques &amp; human'!W34,"")</f>
        <v/>
      </c>
      <c r="I33" t="str">
        <f>IF(COUNTIF('outliers per techniques &amp; human'!H$3:H$42,'outliers per techniques &amp; human'!W34),'outliers per techniques &amp; human'!W34,"")</f>
        <v/>
      </c>
      <c r="J33" t="str">
        <f>IF(COUNTIF('outliers per techniques &amp; human'!I$3:I$21,'outliers per techniques &amp; human'!W34),'outliers per techniques &amp; human'!W34,"")</f>
        <v/>
      </c>
      <c r="K33" t="str">
        <f>IF(COUNTIF('outliers per techniques &amp; human'!J$3:J$47,'outliers per techniques &amp; human'!W34),'outliers per techniques &amp; human'!W34,"")</f>
        <v/>
      </c>
      <c r="L33" t="str">
        <f>IF(COUNTIF('outliers per techniques &amp; human'!K$3:K$78,'outliers per techniques &amp; human'!W34),'outliers per techniques &amp; human'!W34,"")</f>
        <v/>
      </c>
      <c r="M33" t="str">
        <f>IF(COUNTIF('outliers per techniques &amp; human'!L$3:L$17,'outliers per techniques &amp; human'!W34),'outliers per techniques &amp; human'!W34,"")</f>
        <v/>
      </c>
      <c r="N33" t="str">
        <f>IF(COUNTIF('outliers per techniques &amp; human'!M$3:M$200,'outliers per techniques &amp; human'!W34),'outliers per techniques &amp; human'!W34,"")</f>
        <v>easymock</v>
      </c>
      <c r="O33" t="str">
        <f>IF(COUNTIF('outliers per techniques &amp; human'!N$3:N$25,'outliers per techniques &amp; human'!W34),'outliers per techniques &amp; human'!W34,"")</f>
        <v/>
      </c>
      <c r="P33" t="str">
        <f>IF(COUNTIF('outliers per techniques &amp; human'!O$3:O$368,'outliers per techniques &amp; human'!W34),'outliers per techniques &amp; human'!W34,"")</f>
        <v/>
      </c>
    </row>
    <row r="34" spans="2:16" x14ac:dyDescent="0.25">
      <c r="B34" s="4" t="str">
        <f>IF(COUNTIF('outliers per techniques &amp; human'!A$3:A$28,'outliers per techniques &amp; human'!$W35),'outliers per techniques &amp; human'!$W35,"")</f>
        <v/>
      </c>
      <c r="C34" t="str">
        <f>IF(COUNTIF('outliers per techniques &amp; human'!B$3:B$28,'outliers per techniques &amp; human'!W35),'outliers per techniques &amp; human'!W35,"")</f>
        <v/>
      </c>
      <c r="D34" t="str">
        <f>IF(COUNTIF('outliers per techniques &amp; human'!C$3:C$38,'outliers per techniques &amp; human'!W35),'outliers per techniques &amp; human'!W35,"")</f>
        <v/>
      </c>
      <c r="E34" t="str">
        <f>IF(COUNTIF('outliers per techniques &amp; human'!D$3:D$38,'outliers per techniques &amp; human'!W35),'outliers per techniques &amp; human'!W35,"")</f>
        <v/>
      </c>
      <c r="F34" t="str">
        <f>IF(COUNTIF('outliers per techniques &amp; human'!E$3:E$24,'outliers per techniques &amp; human'!W35),'outliers per techniques &amp; human'!W35,"")</f>
        <v/>
      </c>
      <c r="G34" t="str">
        <f>IF(COUNTIF('outliers per techniques &amp; human'!F$3:F$24,'outliers per techniques &amp; human'!W35),'outliers per techniques &amp; human'!W35,"")</f>
        <v/>
      </c>
      <c r="H34" t="str">
        <f>IF(COUNTIF('outliers per techniques &amp; human'!G$3:G$42,'outliers per techniques &amp; human'!W35),'outliers per techniques &amp; human'!W35,"")</f>
        <v/>
      </c>
      <c r="I34" t="str">
        <f>IF(COUNTIF('outliers per techniques &amp; human'!H$3:H$42,'outliers per techniques &amp; human'!W35),'outliers per techniques &amp; human'!W35,"")</f>
        <v/>
      </c>
      <c r="J34" t="str">
        <f>IF(COUNTIF('outliers per techniques &amp; human'!I$3:I$21,'outliers per techniques &amp; human'!W35),'outliers per techniques &amp; human'!W35,"")</f>
        <v/>
      </c>
      <c r="K34" t="str">
        <f>IF(COUNTIF('outliers per techniques &amp; human'!J$3:J$47,'outliers per techniques &amp; human'!W35),'outliers per techniques &amp; human'!W35,"")</f>
        <v/>
      </c>
      <c r="L34" t="str">
        <f>IF(COUNTIF('outliers per techniques &amp; human'!K$3:K$78,'outliers per techniques &amp; human'!W35),'outliers per techniques &amp; human'!W35,"")</f>
        <v/>
      </c>
      <c r="M34" t="str">
        <f>IF(COUNTIF('outliers per techniques &amp; human'!L$3:L$17,'outliers per techniques &amp; human'!W35),'outliers per techniques &amp; human'!W35,"")</f>
        <v/>
      </c>
      <c r="N34" t="str">
        <f>IF(COUNTIF('outliers per techniques &amp; human'!M$3:M$200,'outliers per techniques &amp; human'!W35),'outliers per techniques &amp; human'!W35,"")</f>
        <v>lucas</v>
      </c>
      <c r="O34" t="str">
        <f>IF(COUNTIF('outliers per techniques &amp; human'!N$3:N$25,'outliers per techniques &amp; human'!W35),'outliers per techniques &amp; human'!W35,"")</f>
        <v/>
      </c>
      <c r="P34" t="str">
        <f>IF(COUNTIF('outliers per techniques &amp; human'!O$3:O$368,'outliers per techniques &amp; human'!W35),'outliers per techniques &amp; human'!W35,"")</f>
        <v/>
      </c>
    </row>
    <row r="35" spans="2:16" x14ac:dyDescent="0.25">
      <c r="B35" s="4" t="str">
        <f>IF(COUNTIF('outliers per techniques &amp; human'!A$3:A$28,'outliers per techniques &amp; human'!$W36),'outliers per techniques &amp; human'!$W36,"")</f>
        <v/>
      </c>
      <c r="C35" t="str">
        <f>IF(COUNTIF('outliers per techniques &amp; human'!B$3:B$28,'outliers per techniques &amp; human'!W36),'outliers per techniques &amp; human'!W36,"")</f>
        <v/>
      </c>
      <c r="D35" t="str">
        <f>IF(COUNTIF('outliers per techniques &amp; human'!C$3:C$38,'outliers per techniques &amp; human'!W36),'outliers per techniques &amp; human'!W36,"")</f>
        <v/>
      </c>
      <c r="E35" t="str">
        <f>IF(COUNTIF('outliers per techniques &amp; human'!D$3:D$38,'outliers per techniques &amp; human'!W36),'outliers per techniques &amp; human'!W36,"")</f>
        <v/>
      </c>
      <c r="F35" t="str">
        <f>IF(COUNTIF('outliers per techniques &amp; human'!E$3:E$24,'outliers per techniques &amp; human'!W36),'outliers per techniques &amp; human'!W36,"")</f>
        <v>sonycsl</v>
      </c>
      <c r="G35" t="str">
        <f>IF(COUNTIF('outliers per techniques &amp; human'!F$3:F$24,'outliers per techniques &amp; human'!W36),'outliers per techniques &amp; human'!W36,"")</f>
        <v/>
      </c>
      <c r="H35" t="str">
        <f>IF(COUNTIF('outliers per techniques &amp; human'!G$3:G$42,'outliers per techniques &amp; human'!W36),'outliers per techniques &amp; human'!W36,"")</f>
        <v>sonycsl</v>
      </c>
      <c r="I35" t="str">
        <f>IF(COUNTIF('outliers per techniques &amp; human'!H$3:H$42,'outliers per techniques &amp; human'!W36),'outliers per techniques &amp; human'!W36,"")</f>
        <v/>
      </c>
      <c r="J35" t="str">
        <f>IF(COUNTIF('outliers per techniques &amp; human'!I$3:I$21,'outliers per techniques &amp; human'!W36),'outliers per techniques &amp; human'!W36,"")</f>
        <v>sonycsl</v>
      </c>
      <c r="K35" t="str">
        <f>IF(COUNTIF('outliers per techniques &amp; human'!J$3:J$47,'outliers per techniques &amp; human'!W36),'outliers per techniques &amp; human'!W36,"")</f>
        <v>sonycsl</v>
      </c>
      <c r="L35" t="str">
        <f>IF(COUNTIF('outliers per techniques &amp; human'!K$3:K$78,'outliers per techniques &amp; human'!W36),'outliers per techniques &amp; human'!W36,"")</f>
        <v>sonycsl</v>
      </c>
      <c r="M35" t="str">
        <f>IF(COUNTIF('outliers per techniques &amp; human'!L$3:L$17,'outliers per techniques &amp; human'!W36),'outliers per techniques &amp; human'!W36,"")</f>
        <v>sonycsl</v>
      </c>
      <c r="N35" t="str">
        <f>IF(COUNTIF('outliers per techniques &amp; human'!M$3:M$200,'outliers per techniques &amp; human'!W36),'outliers per techniques &amp; human'!W36,"")</f>
        <v>sonycsl</v>
      </c>
      <c r="O35" t="str">
        <f>IF(COUNTIF('outliers per techniques &amp; human'!N$3:N$25,'outliers per techniques &amp; human'!W36),'outliers per techniques &amp; human'!W36,"")</f>
        <v/>
      </c>
      <c r="P35" t="str">
        <f>IF(COUNTIF('outliers per techniques &amp; human'!O$3:O$368,'outliers per techniques &amp; human'!W36),'outliers per techniques &amp; human'!W36,"")</f>
        <v/>
      </c>
    </row>
    <row r="36" spans="2:16" x14ac:dyDescent="0.25">
      <c r="B36" s="4" t="str">
        <f>IF(COUNTIF('outliers per techniques &amp; human'!A$3:A$28,'outliers per techniques &amp; human'!$W37),'outliers per techniques &amp; human'!$W37,"")</f>
        <v/>
      </c>
      <c r="C36" t="str">
        <f>IF(COUNTIF('outliers per techniques &amp; human'!B$3:B$28,'outliers per techniques &amp; human'!W37),'outliers per techniques &amp; human'!W37,"")</f>
        <v/>
      </c>
      <c r="D36" t="str">
        <f>IF(COUNTIF('outliers per techniques &amp; human'!C$3:C$38,'outliers per techniques &amp; human'!W37),'outliers per techniques &amp; human'!W37,"")</f>
        <v/>
      </c>
      <c r="E36" t="str">
        <f>IF(COUNTIF('outliers per techniques &amp; human'!D$3:D$38,'outliers per techniques &amp; human'!W37),'outliers per techniques &amp; human'!W37,"")</f>
        <v/>
      </c>
      <c r="F36" t="str">
        <f>IF(COUNTIF('outliers per techniques &amp; human'!E$3:E$24,'outliers per techniques &amp; human'!W37),'outliers per techniques &amp; human'!W37,"")</f>
        <v/>
      </c>
      <c r="G36" t="str">
        <f>IF(COUNTIF('outliers per techniques &amp; human'!F$3:F$24,'outliers per techniques &amp; human'!W37),'outliers per techniques &amp; human'!W37,"")</f>
        <v/>
      </c>
      <c r="H36" t="str">
        <f>IF(COUNTIF('outliers per techniques &amp; human'!G$3:G$42,'outliers per techniques &amp; human'!W37),'outliers per techniques &amp; human'!W37,"")</f>
        <v/>
      </c>
      <c r="I36" t="str">
        <f>IF(COUNTIF('outliers per techniques &amp; human'!H$3:H$42,'outliers per techniques &amp; human'!W37),'outliers per techniques &amp; human'!W37,"")</f>
        <v/>
      </c>
      <c r="J36" t="str">
        <f>IF(COUNTIF('outliers per techniques &amp; human'!I$3:I$21,'outliers per techniques &amp; human'!W37),'outliers per techniques &amp; human'!W37,"")</f>
        <v/>
      </c>
      <c r="K36" t="str">
        <f>IF(COUNTIF('outliers per techniques &amp; human'!J$3:J$47,'outliers per techniques &amp; human'!W37),'outliers per techniques &amp; human'!W37,"")</f>
        <v/>
      </c>
      <c r="L36" t="str">
        <f>IF(COUNTIF('outliers per techniques &amp; human'!K$3:K$78,'outliers per techniques &amp; human'!W37),'outliers per techniques &amp; human'!W37,"")</f>
        <v/>
      </c>
      <c r="M36" t="str">
        <f>IF(COUNTIF('outliers per techniques &amp; human'!L$3:L$17,'outliers per techniques &amp; human'!W37),'outliers per techniques &amp; human'!W37,"")</f>
        <v/>
      </c>
      <c r="N36" t="str">
        <f>IF(COUNTIF('outliers per techniques &amp; human'!M$3:M$200,'outliers per techniques &amp; human'!W37),'outliers per techniques &amp; human'!W37,"")</f>
        <v>computergraphik</v>
      </c>
      <c r="O36" t="str">
        <f>IF(COUNTIF('outliers per techniques &amp; human'!N$3:N$25,'outliers per techniques &amp; human'!W37),'outliers per techniques &amp; human'!W37,"")</f>
        <v/>
      </c>
      <c r="P36" t="str">
        <f>IF(COUNTIF('outliers per techniques &amp; human'!O$3:O$368,'outliers per techniques &amp; human'!W37),'outliers per techniques &amp; human'!W37,"")</f>
        <v/>
      </c>
    </row>
    <row r="37" spans="2:16" x14ac:dyDescent="0.25">
      <c r="B37" s="4" t="str">
        <f>IF(COUNTIF('outliers per techniques &amp; human'!A$3:A$28,'outliers per techniques &amp; human'!$W38),'outliers per techniques &amp; human'!$W38,"")</f>
        <v/>
      </c>
      <c r="C37" t="str">
        <f>IF(COUNTIF('outliers per techniques &amp; human'!B$3:B$28,'outliers per techniques &amp; human'!W38),'outliers per techniques &amp; human'!W38,"")</f>
        <v/>
      </c>
      <c r="D37" t="str">
        <f>IF(COUNTIF('outliers per techniques &amp; human'!C$3:C$38,'outliers per techniques &amp; human'!W38),'outliers per techniques &amp; human'!W38,"")</f>
        <v/>
      </c>
      <c r="E37" t="str">
        <f>IF(COUNTIF('outliers per techniques &amp; human'!D$3:D$38,'outliers per techniques &amp; human'!W38),'outliers per techniques &amp; human'!W38,"")</f>
        <v/>
      </c>
      <c r="F37" t="str">
        <f>IF(COUNTIF('outliers per techniques &amp; human'!E$3:E$24,'outliers per techniques &amp; human'!W38),'outliers per techniques &amp; human'!W38,"")</f>
        <v/>
      </c>
      <c r="G37" t="str">
        <f>IF(COUNTIF('outliers per techniques &amp; human'!F$3:F$24,'outliers per techniques &amp; human'!W38),'outliers per techniques &amp; human'!W38,"")</f>
        <v/>
      </c>
      <c r="H37" t="str">
        <f>IF(COUNTIF('outliers per techniques &amp; human'!G$3:G$42,'outliers per techniques &amp; human'!W38),'outliers per techniques &amp; human'!W38,"")</f>
        <v/>
      </c>
      <c r="I37" t="str">
        <f>IF(COUNTIF('outliers per techniques &amp; human'!H$3:H$42,'outliers per techniques &amp; human'!W38),'outliers per techniques &amp; human'!W38,"")</f>
        <v/>
      </c>
      <c r="J37" t="str">
        <f>IF(COUNTIF('outliers per techniques &amp; human'!I$3:I$21,'outliers per techniques &amp; human'!W38),'outliers per techniques &amp; human'!W38,"")</f>
        <v/>
      </c>
      <c r="K37" t="str">
        <f>IF(COUNTIF('outliers per techniques &amp; human'!J$3:J$47,'outliers per techniques &amp; human'!W38),'outliers per techniques &amp; human'!W38,"")</f>
        <v/>
      </c>
      <c r="L37" t="str">
        <f>IF(COUNTIF('outliers per techniques &amp; human'!K$3:K$78,'outliers per techniques &amp; human'!W38),'outliers per techniques &amp; human'!W38,"")</f>
        <v/>
      </c>
      <c r="M37" t="str">
        <f>IF(COUNTIF('outliers per techniques &amp; human'!L$3:L$17,'outliers per techniques &amp; human'!W38),'outliers per techniques &amp; human'!W38,"")</f>
        <v/>
      </c>
      <c r="N37" t="str">
        <f>IF(COUNTIF('outliers per techniques &amp; human'!M$3:M$200,'outliers per techniques &amp; human'!W38),'outliers per techniques &amp; human'!W38,"")</f>
        <v>weinberg</v>
      </c>
      <c r="O37" t="str">
        <f>IF(COUNTIF('outliers per techniques &amp; human'!N$3:N$25,'outliers per techniques &amp; human'!W38),'outliers per techniques &amp; human'!W38,"")</f>
        <v/>
      </c>
      <c r="P37" t="str">
        <f>IF(COUNTIF('outliers per techniques &amp; human'!O$3:O$368,'outliers per techniques &amp; human'!W38),'outliers per techniques &amp; human'!W38,"")</f>
        <v/>
      </c>
    </row>
    <row r="38" spans="2:16" x14ac:dyDescent="0.25">
      <c r="B38" s="4" t="str">
        <f>IF(COUNTIF('outliers per techniques &amp; human'!A$3:A$28,'outliers per techniques &amp; human'!$W39),'outliers per techniques &amp; human'!$W39,"")</f>
        <v/>
      </c>
      <c r="C38" t="str">
        <f>IF(COUNTIF('outliers per techniques &amp; human'!B$3:B$28,'outliers per techniques &amp; human'!W39),'outliers per techniques &amp; human'!W39,"")</f>
        <v/>
      </c>
      <c r="D38" t="str">
        <f>IF(COUNTIF('outliers per techniques &amp; human'!C$3:C$38,'outliers per techniques &amp; human'!W39),'outliers per techniques &amp; human'!W39,"")</f>
        <v/>
      </c>
      <c r="E38" t="str">
        <f>IF(COUNTIF('outliers per techniques &amp; human'!D$3:D$38,'outliers per techniques &amp; human'!W39),'outliers per techniques &amp; human'!W39,"")</f>
        <v/>
      </c>
      <c r="F38" t="str">
        <f>IF(COUNTIF('outliers per techniques &amp; human'!E$3:E$24,'outliers per techniques &amp; human'!W39),'outliers per techniques &amp; human'!W39,"")</f>
        <v/>
      </c>
      <c r="G38" t="str">
        <f>IF(COUNTIF('outliers per techniques &amp; human'!F$3:F$24,'outliers per techniques &amp; human'!W39),'outliers per techniques &amp; human'!W39,"")</f>
        <v/>
      </c>
      <c r="H38" t="str">
        <f>IF(COUNTIF('outliers per techniques &amp; human'!G$3:G$42,'outliers per techniques &amp; human'!W39),'outliers per techniques &amp; human'!W39,"")</f>
        <v/>
      </c>
      <c r="I38" t="str">
        <f>IF(COUNTIF('outliers per techniques &amp; human'!H$3:H$42,'outliers per techniques &amp; human'!W39),'outliers per techniques &amp; human'!W39,"")</f>
        <v/>
      </c>
      <c r="J38" t="str">
        <f>IF(COUNTIF('outliers per techniques &amp; human'!I$3:I$21,'outliers per techniques &amp; human'!W39),'outliers per techniques &amp; human'!W39,"")</f>
        <v/>
      </c>
      <c r="K38" t="str">
        <f>IF(COUNTIF('outliers per techniques &amp; human'!J$3:J$47,'outliers per techniques &amp; human'!W39),'outliers per techniques &amp; human'!W39,"")</f>
        <v/>
      </c>
      <c r="L38" t="str">
        <f>IF(COUNTIF('outliers per techniques &amp; human'!K$3:K$78,'outliers per techniques &amp; human'!W39),'outliers per techniques &amp; human'!W39,"")</f>
        <v/>
      </c>
      <c r="M38" t="str">
        <f>IF(COUNTIF('outliers per techniques &amp; human'!L$3:L$17,'outliers per techniques &amp; human'!W39),'outliers per techniques &amp; human'!W39,"")</f>
        <v/>
      </c>
      <c r="N38" t="str">
        <f>IF(COUNTIF('outliers per techniques &amp; human'!M$3:M$200,'outliers per techniques &amp; human'!W39),'outliers per techniques &amp; human'!W39,"")</f>
        <v>papsttum</v>
      </c>
      <c r="O38" t="str">
        <f>IF(COUNTIF('outliers per techniques &amp; human'!N$3:N$25,'outliers per techniques &amp; human'!W39),'outliers per techniques &amp; human'!W39,"")</f>
        <v/>
      </c>
      <c r="P38" t="str">
        <f>IF(COUNTIF('outliers per techniques &amp; human'!O$3:O$368,'outliers per techniques &amp; human'!W39),'outliers per techniques &amp; human'!W39,"")</f>
        <v/>
      </c>
    </row>
    <row r="39" spans="2:16" x14ac:dyDescent="0.25">
      <c r="B39" s="4" t="str">
        <f>IF(COUNTIF('outliers per techniques &amp; human'!A$3:A$28,'outliers per techniques &amp; human'!$W40),'outliers per techniques &amp; human'!$W40,"")</f>
        <v/>
      </c>
      <c r="C39" t="str">
        <f>IF(COUNTIF('outliers per techniques &amp; human'!B$3:B$28,'outliers per techniques &amp; human'!W40),'outliers per techniques &amp; human'!W40,"")</f>
        <v/>
      </c>
      <c r="D39" t="str">
        <f>IF(COUNTIF('outliers per techniques &amp; human'!C$3:C$38,'outliers per techniques &amp; human'!W40),'outliers per techniques &amp; human'!W40,"")</f>
        <v/>
      </c>
      <c r="E39" t="str">
        <f>IF(COUNTIF('outliers per techniques &amp; human'!D$3:D$38,'outliers per techniques &amp; human'!W40),'outliers per techniques &amp; human'!W40,"")</f>
        <v/>
      </c>
      <c r="F39" t="str">
        <f>IF(COUNTIF('outliers per techniques &amp; human'!E$3:E$24,'outliers per techniques &amp; human'!W40),'outliers per techniques &amp; human'!W40,"")</f>
        <v/>
      </c>
      <c r="G39" t="str">
        <f>IF(COUNTIF('outliers per techniques &amp; human'!F$3:F$24,'outliers per techniques &amp; human'!W40),'outliers per techniques &amp; human'!W40,"")</f>
        <v/>
      </c>
      <c r="H39" t="str">
        <f>IF(COUNTIF('outliers per techniques &amp; human'!G$3:G$42,'outliers per techniques &amp; human'!W40),'outliers per techniques &amp; human'!W40,"")</f>
        <v/>
      </c>
      <c r="I39" t="str">
        <f>IF(COUNTIF('outliers per techniques &amp; human'!H$3:H$42,'outliers per techniques &amp; human'!W40),'outliers per techniques &amp; human'!W40,"")</f>
        <v/>
      </c>
      <c r="J39" t="str">
        <f>IF(COUNTIF('outliers per techniques &amp; human'!I$3:I$21,'outliers per techniques &amp; human'!W40),'outliers per techniques &amp; human'!W40,"")</f>
        <v/>
      </c>
      <c r="K39" t="str">
        <f>IF(COUNTIF('outliers per techniques &amp; human'!J$3:J$47,'outliers per techniques &amp; human'!W40),'outliers per techniques &amp; human'!W40,"")</f>
        <v/>
      </c>
      <c r="L39" t="str">
        <f>IF(COUNTIF('outliers per techniques &amp; human'!K$3:K$78,'outliers per techniques &amp; human'!W40),'outliers per techniques &amp; human'!W40,"")</f>
        <v/>
      </c>
      <c r="M39" t="str">
        <f>IF(COUNTIF('outliers per techniques &amp; human'!L$3:L$17,'outliers per techniques &amp; human'!W40),'outliers per techniques &amp; human'!W40,"")</f>
        <v/>
      </c>
      <c r="N39" t="str">
        <f>IF(COUNTIF('outliers per techniques &amp; human'!M$3:M$200,'outliers per techniques &amp; human'!W40),'outliers per techniques &amp; human'!W40,"")</f>
        <v>klassifikationstheorie</v>
      </c>
      <c r="O39" t="str">
        <f>IF(COUNTIF('outliers per techniques &amp; human'!N$3:N$25,'outliers per techniques &amp; human'!W40),'outliers per techniques &amp; human'!W40,"")</f>
        <v/>
      </c>
      <c r="P39" t="str">
        <f>IF(COUNTIF('outliers per techniques &amp; human'!O$3:O$368,'outliers per techniques &amp; human'!W40),'outliers per techniques &amp; human'!W40,"")</f>
        <v/>
      </c>
    </row>
    <row r="40" spans="2:16" x14ac:dyDescent="0.25">
      <c r="B40" s="4" t="str">
        <f>IF(COUNTIF('outliers per techniques &amp; human'!A$3:A$28,'outliers per techniques &amp; human'!$W41),'outliers per techniques &amp; human'!$W41,"")</f>
        <v/>
      </c>
      <c r="C40" t="str">
        <f>IF(COUNTIF('outliers per techniques &amp; human'!B$3:B$28,'outliers per techniques &amp; human'!W41),'outliers per techniques &amp; human'!W41,"")</f>
        <v/>
      </c>
      <c r="D40" t="str">
        <f>IF(COUNTIF('outliers per techniques &amp; human'!C$3:C$38,'outliers per techniques &amp; human'!W41),'outliers per techniques &amp; human'!W41,"")</f>
        <v/>
      </c>
      <c r="E40" t="str">
        <f>IF(COUNTIF('outliers per techniques &amp; human'!D$3:D$38,'outliers per techniques &amp; human'!W41),'outliers per techniques &amp; human'!W41,"")</f>
        <v/>
      </c>
      <c r="F40" t="str">
        <f>IF(COUNTIF('outliers per techniques &amp; human'!E$3:E$24,'outliers per techniques &amp; human'!W41),'outliers per techniques &amp; human'!W41,"")</f>
        <v/>
      </c>
      <c r="G40" t="str">
        <f>IF(COUNTIF('outliers per techniques &amp; human'!F$3:F$24,'outliers per techniques &amp; human'!W41),'outliers per techniques &amp; human'!W41,"")</f>
        <v/>
      </c>
      <c r="H40" t="str">
        <f>IF(COUNTIF('outliers per techniques &amp; human'!G$3:G$42,'outliers per techniques &amp; human'!W41),'outliers per techniques &amp; human'!W41,"")</f>
        <v/>
      </c>
      <c r="I40" t="str">
        <f>IF(COUNTIF('outliers per techniques &amp; human'!H$3:H$42,'outliers per techniques &amp; human'!W41),'outliers per techniques &amp; human'!W41,"")</f>
        <v/>
      </c>
      <c r="J40" t="str">
        <f>IF(COUNTIF('outliers per techniques &amp; human'!I$3:I$21,'outliers per techniques &amp; human'!W41),'outliers per techniques &amp; human'!W41,"")</f>
        <v/>
      </c>
      <c r="K40" t="str">
        <f>IF(COUNTIF('outliers per techniques &amp; human'!J$3:J$47,'outliers per techniques &amp; human'!W41),'outliers per techniques &amp; human'!W41,"")</f>
        <v/>
      </c>
      <c r="L40" t="str">
        <f>IF(COUNTIF('outliers per techniques &amp; human'!K$3:K$78,'outliers per techniques &amp; human'!W41),'outliers per techniques &amp; human'!W41,"")</f>
        <v/>
      </c>
      <c r="M40" t="str">
        <f>IF(COUNTIF('outliers per techniques &amp; human'!L$3:L$17,'outliers per techniques &amp; human'!W41),'outliers per techniques &amp; human'!W41,"")</f>
        <v/>
      </c>
      <c r="N40" t="str">
        <f>IF(COUNTIF('outliers per techniques &amp; human'!M$3:M$200,'outliers per techniques &amp; human'!W41),'outliers per techniques &amp; human'!W41,"")</f>
        <v/>
      </c>
      <c r="O40" t="str">
        <f>IF(COUNTIF('outliers per techniques &amp; human'!N$3:N$25,'outliers per techniques &amp; human'!W41),'outliers per techniques &amp; human'!W41,"")</f>
        <v/>
      </c>
      <c r="P40" t="str">
        <f>IF(COUNTIF('outliers per techniques &amp; human'!O$3:O$368,'outliers per techniques &amp; human'!W41),'outliers per techniques &amp; human'!W41,"")</f>
        <v>informaci'on</v>
      </c>
    </row>
    <row r="41" spans="2:16" x14ac:dyDescent="0.25">
      <c r="B41" s="4" t="str">
        <f>IF(COUNTIF('outliers per techniques &amp; human'!A$3:A$28,'outliers per techniques &amp; human'!$W42),'outliers per techniques &amp; human'!$W42,"")</f>
        <v/>
      </c>
      <c r="C41" t="str">
        <f>IF(COUNTIF('outliers per techniques &amp; human'!B$3:B$28,'outliers per techniques &amp; human'!W42),'outliers per techniques &amp; human'!W42,"")</f>
        <v/>
      </c>
      <c r="D41" t="str">
        <f>IF(COUNTIF('outliers per techniques &amp; human'!C$3:C$38,'outliers per techniques &amp; human'!W42),'outliers per techniques &amp; human'!W42,"")</f>
        <v/>
      </c>
      <c r="E41" t="str">
        <f>IF(COUNTIF('outliers per techniques &amp; human'!D$3:D$38,'outliers per techniques &amp; human'!W42),'outliers per techniques &amp; human'!W42,"")</f>
        <v/>
      </c>
      <c r="F41" t="str">
        <f>IF(COUNTIF('outliers per techniques &amp; human'!E$3:E$24,'outliers per techniques &amp; human'!W42),'outliers per techniques &amp; human'!W42,"")</f>
        <v/>
      </c>
      <c r="G41" t="str">
        <f>IF(COUNTIF('outliers per techniques &amp; human'!F$3:F$24,'outliers per techniques &amp; human'!W42),'outliers per techniques &amp; human'!W42,"")</f>
        <v/>
      </c>
      <c r="H41" t="str">
        <f>IF(COUNTIF('outliers per techniques &amp; human'!G$3:G$42,'outliers per techniques &amp; human'!W42),'outliers per techniques &amp; human'!W42,"")</f>
        <v/>
      </c>
      <c r="I41" t="str">
        <f>IF(COUNTIF('outliers per techniques &amp; human'!H$3:H$42,'outliers per techniques &amp; human'!W42),'outliers per techniques &amp; human'!W42,"")</f>
        <v/>
      </c>
      <c r="J41" t="str">
        <f>IF(COUNTIF('outliers per techniques &amp; human'!I$3:I$21,'outliers per techniques &amp; human'!W42),'outliers per techniques &amp; human'!W42,"")</f>
        <v/>
      </c>
      <c r="K41" t="str">
        <f>IF(COUNTIF('outliers per techniques &amp; human'!J$3:J$47,'outliers per techniques &amp; human'!W42),'outliers per techniques &amp; human'!W42,"")</f>
        <v/>
      </c>
      <c r="L41" t="str">
        <f>IF(COUNTIF('outliers per techniques &amp; human'!K$3:K$78,'outliers per techniques &amp; human'!W42),'outliers per techniques &amp; human'!W42,"")</f>
        <v/>
      </c>
      <c r="M41" t="str">
        <f>IF(COUNTIF('outliers per techniques &amp; human'!L$3:L$17,'outliers per techniques &amp; human'!W42),'outliers per techniques &amp; human'!W42,"")</f>
        <v/>
      </c>
      <c r="N41" t="str">
        <f>IF(COUNTIF('outliers per techniques &amp; human'!M$3:M$200,'outliers per techniques &amp; human'!W42),'outliers per techniques &amp; human'!W42,"")</f>
        <v>informationsdienstleistungen</v>
      </c>
      <c r="O41" t="str">
        <f>IF(COUNTIF('outliers per techniques &amp; human'!N$3:N$25,'outliers per techniques &amp; human'!W42),'outliers per techniques &amp; human'!W42,"")</f>
        <v/>
      </c>
      <c r="P41" t="str">
        <f>IF(COUNTIF('outliers per techniques &amp; human'!O$3:O$368,'outliers per techniques &amp; human'!W42),'outliers per techniques &amp; human'!W42,"")</f>
        <v/>
      </c>
    </row>
    <row r="42" spans="2:16" x14ac:dyDescent="0.25">
      <c r="B42" s="4" t="str">
        <f>IF(COUNTIF('outliers per techniques &amp; human'!A$3:A$28,'outliers per techniques &amp; human'!$W43),'outliers per techniques &amp; human'!$W43,"")</f>
        <v/>
      </c>
      <c r="C42" t="str">
        <f>IF(COUNTIF('outliers per techniques &amp; human'!B$3:B$28,'outliers per techniques &amp; human'!W43),'outliers per techniques &amp; human'!W43,"")</f>
        <v/>
      </c>
      <c r="D42" t="str">
        <f>IF(COUNTIF('outliers per techniques &amp; human'!C$3:C$38,'outliers per techniques &amp; human'!W43),'outliers per techniques &amp; human'!W43,"")</f>
        <v/>
      </c>
      <c r="E42" t="str">
        <f>IF(COUNTIF('outliers per techniques &amp; human'!D$3:D$38,'outliers per techniques &amp; human'!W43),'outliers per techniques &amp; human'!W43,"")</f>
        <v/>
      </c>
      <c r="F42" t="str">
        <f>IF(COUNTIF('outliers per techniques &amp; human'!E$3:E$24,'outliers per techniques &amp; human'!W43),'outliers per techniques &amp; human'!W43,"")</f>
        <v/>
      </c>
      <c r="G42" t="str">
        <f>IF(COUNTIF('outliers per techniques &amp; human'!F$3:F$24,'outliers per techniques &amp; human'!W43),'outliers per techniques &amp; human'!W43,"")</f>
        <v/>
      </c>
      <c r="H42" t="str">
        <f>IF(COUNTIF('outliers per techniques &amp; human'!G$3:G$42,'outliers per techniques &amp; human'!W43),'outliers per techniques &amp; human'!W43,"")</f>
        <v/>
      </c>
      <c r="I42" t="str">
        <f>IF(COUNTIF('outliers per techniques &amp; human'!H$3:H$42,'outliers per techniques &amp; human'!W43),'outliers per techniques &amp; human'!W43,"")</f>
        <v/>
      </c>
      <c r="J42" t="str">
        <f>IF(COUNTIF('outliers per techniques &amp; human'!I$3:I$21,'outliers per techniques &amp; human'!W43),'outliers per techniques &amp; human'!W43,"")</f>
        <v/>
      </c>
      <c r="K42" t="str">
        <f>IF(COUNTIF('outliers per techniques &amp; human'!J$3:J$47,'outliers per techniques &amp; human'!W43),'outliers per techniques &amp; human'!W43,"")</f>
        <v/>
      </c>
      <c r="L42" t="str">
        <f>IF(COUNTIF('outliers per techniques &amp; human'!K$3:K$78,'outliers per techniques &amp; human'!W43),'outliers per techniques &amp; human'!W43,"")</f>
        <v/>
      </c>
      <c r="M42" t="str">
        <f>IF(COUNTIF('outliers per techniques &amp; human'!L$3:L$17,'outliers per techniques &amp; human'!W43),'outliers per techniques &amp; human'!W43,"")</f>
        <v>religionskritik</v>
      </c>
      <c r="N42" t="str">
        <f>IF(COUNTIF('outliers per techniques &amp; human'!M$3:M$200,'outliers per techniques &amp; human'!W43),'outliers per techniques &amp; human'!W43,"")</f>
        <v>religionskritik</v>
      </c>
      <c r="O42" t="str">
        <f>IF(COUNTIF('outliers per techniques &amp; human'!N$3:N$25,'outliers per techniques &amp; human'!W43),'outliers per techniques &amp; human'!W43,"")</f>
        <v/>
      </c>
      <c r="P42" t="str">
        <f>IF(COUNTIF('outliers per techniques &amp; human'!O$3:O$368,'outliers per techniques &amp; human'!W43),'outliers per techniques &amp; human'!W43,"")</f>
        <v>religionskritik</v>
      </c>
    </row>
    <row r="43" spans="2:16" x14ac:dyDescent="0.25">
      <c r="B43" s="4" t="str">
        <f>IF(COUNTIF('outliers per techniques &amp; human'!A$3:A$28,'outliers per techniques &amp; human'!$W44),'outliers per techniques &amp; human'!$W44,"")</f>
        <v>ubma</v>
      </c>
      <c r="C43" t="str">
        <f>IF(COUNTIF('outliers per techniques &amp; human'!B$3:B$28,'outliers per techniques &amp; human'!W44),'outliers per techniques &amp; human'!W44,"")</f>
        <v>ubma</v>
      </c>
      <c r="D43" t="str">
        <f>IF(COUNTIF('outliers per techniques &amp; human'!C$3:C$38,'outliers per techniques &amp; human'!W44),'outliers per techniques &amp; human'!W44,"")</f>
        <v>ubma</v>
      </c>
      <c r="E43" t="str">
        <f>IF(COUNTIF('outliers per techniques &amp; human'!D$3:D$38,'outliers per techniques &amp; human'!W44),'outliers per techniques &amp; human'!W44,"")</f>
        <v>ubma</v>
      </c>
      <c r="F43" t="str">
        <f>IF(COUNTIF('outliers per techniques &amp; human'!E$3:E$24,'outliers per techniques &amp; human'!W44),'outliers per techniques &amp; human'!W44,"")</f>
        <v/>
      </c>
      <c r="G43" t="str">
        <f>IF(COUNTIF('outliers per techniques &amp; human'!F$3:F$24,'outliers per techniques &amp; human'!W44),'outliers per techniques &amp; human'!W44,"")</f>
        <v/>
      </c>
      <c r="H43" t="str">
        <f>IF(COUNTIF('outliers per techniques &amp; human'!G$3:G$42,'outliers per techniques &amp; human'!W44),'outliers per techniques &amp; human'!W44,"")</f>
        <v/>
      </c>
      <c r="I43" t="str">
        <f>IF(COUNTIF('outliers per techniques &amp; human'!H$3:H$42,'outliers per techniques &amp; human'!W44),'outliers per techniques &amp; human'!W44,"")</f>
        <v/>
      </c>
      <c r="J43" t="str">
        <f>IF(COUNTIF('outliers per techniques &amp; human'!I$3:I$21,'outliers per techniques &amp; human'!W44),'outliers per techniques &amp; human'!W44,"")</f>
        <v>ubma</v>
      </c>
      <c r="K43" t="str">
        <f>IF(COUNTIF('outliers per techniques &amp; human'!J$3:J$47,'outliers per techniques &amp; human'!W44),'outliers per techniques &amp; human'!W44,"")</f>
        <v>ubma</v>
      </c>
      <c r="L43" t="str">
        <f>IF(COUNTIF('outliers per techniques &amp; human'!K$3:K$78,'outliers per techniques &amp; human'!W44),'outliers per techniques &amp; human'!W44,"")</f>
        <v/>
      </c>
      <c r="M43" t="str">
        <f>IF(COUNTIF('outliers per techniques &amp; human'!L$3:L$17,'outliers per techniques &amp; human'!W44),'outliers per techniques &amp; human'!W44,"")</f>
        <v/>
      </c>
      <c r="N43" t="str">
        <f>IF(COUNTIF('outliers per techniques &amp; human'!M$3:M$200,'outliers per techniques &amp; human'!W44),'outliers per techniques &amp; human'!W44,"")</f>
        <v/>
      </c>
      <c r="O43" t="str">
        <f>IF(COUNTIF('outliers per techniques &amp; human'!N$3:N$25,'outliers per techniques &amp; human'!W44),'outliers per techniques &amp; human'!W44,"")</f>
        <v/>
      </c>
      <c r="P43" t="str">
        <f>IF(COUNTIF('outliers per techniques &amp; human'!O$3:O$368,'outliers per techniques &amp; human'!W44),'outliers per techniques &amp; human'!W44,"")</f>
        <v/>
      </c>
    </row>
    <row r="44" spans="2:16" x14ac:dyDescent="0.25">
      <c r="B44" s="4" t="str">
        <f>IF(COUNTIF('outliers per techniques &amp; human'!A$3:A$28,'outliers per techniques &amp; human'!$W45),'outliers per techniques &amp; human'!$W45,"")</f>
        <v/>
      </c>
      <c r="C44" t="str">
        <f>IF(COUNTIF('outliers per techniques &amp; human'!B$3:B$28,'outliers per techniques &amp; human'!W45),'outliers per techniques &amp; human'!W45,"")</f>
        <v/>
      </c>
      <c r="D44" t="str">
        <f>IF(COUNTIF('outliers per techniques &amp; human'!C$3:C$38,'outliers per techniques &amp; human'!W45),'outliers per techniques &amp; human'!W45,"")</f>
        <v/>
      </c>
      <c r="E44" t="str">
        <f>IF(COUNTIF('outliers per techniques &amp; human'!D$3:D$38,'outliers per techniques &amp; human'!W45),'outliers per techniques &amp; human'!W45,"")</f>
        <v/>
      </c>
      <c r="F44" t="str">
        <f>IF(COUNTIF('outliers per techniques &amp; human'!E$3:E$24,'outliers per techniques &amp; human'!W45),'outliers per techniques &amp; human'!W45,"")</f>
        <v/>
      </c>
      <c r="G44" t="str">
        <f>IF(COUNTIF('outliers per techniques &amp; human'!F$3:F$24,'outliers per techniques &amp; human'!W45),'outliers per techniques &amp; human'!W45,"")</f>
        <v/>
      </c>
      <c r="H44" t="str">
        <f>IF(COUNTIF('outliers per techniques &amp; human'!G$3:G$42,'outliers per techniques &amp; human'!W45),'outliers per techniques &amp; human'!W45,"")</f>
        <v/>
      </c>
      <c r="I44" t="str">
        <f>IF(COUNTIF('outliers per techniques &amp; human'!H$3:H$42,'outliers per techniques &amp; human'!W45),'outliers per techniques &amp; human'!W45,"")</f>
        <v/>
      </c>
      <c r="J44" t="str">
        <f>IF(COUNTIF('outliers per techniques &amp; human'!I$3:I$21,'outliers per techniques &amp; human'!W45),'outliers per techniques &amp; human'!W45,"")</f>
        <v/>
      </c>
      <c r="K44" t="str">
        <f>IF(COUNTIF('outliers per techniques &amp; human'!J$3:J$47,'outliers per techniques &amp; human'!W45),'outliers per techniques &amp; human'!W45,"")</f>
        <v/>
      </c>
      <c r="L44" t="str">
        <f>IF(COUNTIF('outliers per techniques &amp; human'!K$3:K$78,'outliers per techniques &amp; human'!W45),'outliers per techniques &amp; human'!W45,"")</f>
        <v/>
      </c>
      <c r="M44" t="str">
        <f>IF(COUNTIF('outliers per techniques &amp; human'!L$3:L$17,'outliers per techniques &amp; human'!W45),'outliers per techniques &amp; human'!W45,"")</f>
        <v/>
      </c>
      <c r="N44" t="str">
        <f>IF(COUNTIF('outliers per techniques &amp; human'!M$3:M$200,'outliers per techniques &amp; human'!W45),'outliers per techniques &amp; human'!W45,"")</f>
        <v/>
      </c>
      <c r="O44" t="str">
        <f>IF(COUNTIF('outliers per techniques &amp; human'!N$3:N$25,'outliers per techniques &amp; human'!W45),'outliers per techniques &amp; human'!W45,"")</f>
        <v/>
      </c>
      <c r="P44" t="str">
        <f>IF(COUNTIF('outliers per techniques &amp; human'!O$3:O$368,'outliers per techniques &amp; human'!W45),'outliers per techniques &amp; human'!W45,"")</f>
        <v>omg</v>
      </c>
    </row>
    <row r="45" spans="2:16" x14ac:dyDescent="0.25">
      <c r="B45" s="4" t="str">
        <f>IF(COUNTIF('outliers per techniques &amp; human'!A$3:A$28,'outliers per techniques &amp; human'!$W46),'outliers per techniques &amp; human'!$W46,"")</f>
        <v/>
      </c>
      <c r="C45" t="str">
        <f>IF(COUNTIF('outliers per techniques &amp; human'!B$3:B$28,'outliers per techniques &amp; human'!W46),'outliers per techniques &amp; human'!W46,"")</f>
        <v/>
      </c>
      <c r="D45" t="str">
        <f>IF(COUNTIF('outliers per techniques &amp; human'!C$3:C$38,'outliers per techniques &amp; human'!W46),'outliers per techniques &amp; human'!W46,"")</f>
        <v/>
      </c>
      <c r="E45" t="str">
        <f>IF(COUNTIF('outliers per techniques &amp; human'!D$3:D$38,'outliers per techniques &amp; human'!W46),'outliers per techniques &amp; human'!W46,"")</f>
        <v/>
      </c>
      <c r="F45" t="str">
        <f>IF(COUNTIF('outliers per techniques &amp; human'!E$3:E$24,'outliers per techniques &amp; human'!W46),'outliers per techniques &amp; human'!W46,"")</f>
        <v>one</v>
      </c>
      <c r="G45" t="str">
        <f>IF(COUNTIF('outliers per techniques &amp; human'!F$3:F$24,'outliers per techniques &amp; human'!W46),'outliers per techniques &amp; human'!W46,"")</f>
        <v/>
      </c>
      <c r="H45" t="str">
        <f>IF(COUNTIF('outliers per techniques &amp; human'!G$3:G$42,'outliers per techniques &amp; human'!W46),'outliers per techniques &amp; human'!W46,"")</f>
        <v>one</v>
      </c>
      <c r="I45" t="str">
        <f>IF(COUNTIF('outliers per techniques &amp; human'!H$3:H$42,'outliers per techniques &amp; human'!W46),'outliers per techniques &amp; human'!W46,"")</f>
        <v/>
      </c>
      <c r="J45" t="str">
        <f>IF(COUNTIF('outliers per techniques &amp; human'!I$3:I$21,'outliers per techniques &amp; human'!W46),'outliers per techniques &amp; human'!W46,"")</f>
        <v/>
      </c>
      <c r="K45" t="str">
        <f>IF(COUNTIF('outliers per techniques &amp; human'!J$3:J$47,'outliers per techniques &amp; human'!W46),'outliers per techniques &amp; human'!W46,"")</f>
        <v/>
      </c>
      <c r="L45" t="str">
        <f>IF(COUNTIF('outliers per techniques &amp; human'!K$3:K$78,'outliers per techniques &amp; human'!W46),'outliers per techniques &amp; human'!W46,"")</f>
        <v/>
      </c>
      <c r="M45" t="str">
        <f>IF(COUNTIF('outliers per techniques &amp; human'!L$3:L$17,'outliers per techniques &amp; human'!W46),'outliers per techniques &amp; human'!W46,"")</f>
        <v/>
      </c>
      <c r="N45" t="str">
        <f>IF(COUNTIF('outliers per techniques &amp; human'!M$3:M$200,'outliers per techniques &amp; human'!W46),'outliers per techniques &amp; human'!W46,"")</f>
        <v/>
      </c>
      <c r="O45" t="str">
        <f>IF(COUNTIF('outliers per techniques &amp; human'!N$3:N$25,'outliers per techniques &amp; human'!W46),'outliers per techniques &amp; human'!W46,"")</f>
        <v/>
      </c>
      <c r="P45" t="str">
        <f>IF(COUNTIF('outliers per techniques &amp; human'!O$3:O$368,'outliers per techniques &amp; human'!W46),'outliers per techniques &amp; human'!W46,"")</f>
        <v/>
      </c>
    </row>
    <row r="46" spans="2:16" x14ac:dyDescent="0.25">
      <c r="B46" s="4" t="str">
        <f>IF(COUNTIF('outliers per techniques &amp; human'!A$3:A$28,'outliers per techniques &amp; human'!$W47),'outliers per techniques &amp; human'!$W47,"")</f>
        <v/>
      </c>
      <c r="C46" t="str">
        <f>IF(COUNTIF('outliers per techniques &amp; human'!B$3:B$28,'outliers per techniques &amp; human'!W47),'outliers per techniques &amp; human'!W47,"")</f>
        <v/>
      </c>
      <c r="D46" t="str">
        <f>IF(COUNTIF('outliers per techniques &amp; human'!C$3:C$38,'outliers per techniques &amp; human'!W47),'outliers per techniques &amp; human'!W47,"")</f>
        <v/>
      </c>
      <c r="E46" t="str">
        <f>IF(COUNTIF('outliers per techniques &amp; human'!D$3:D$38,'outliers per techniques &amp; human'!W47),'outliers per techniques &amp; human'!W47,"")</f>
        <v/>
      </c>
      <c r="F46" t="str">
        <f>IF(COUNTIF('outliers per techniques &amp; human'!E$3:E$24,'outliers per techniques &amp; human'!W47),'outliers per techniques &amp; human'!W47,"")</f>
        <v/>
      </c>
      <c r="G46" t="str">
        <f>IF(COUNTIF('outliers per techniques &amp; human'!F$3:F$24,'outliers per techniques &amp; human'!W47),'outliers per techniques &amp; human'!W47,"")</f>
        <v/>
      </c>
      <c r="H46" t="str">
        <f>IF(COUNTIF('outliers per techniques &amp; human'!G$3:G$42,'outliers per techniques &amp; human'!W47),'outliers per techniques &amp; human'!W47,"")</f>
        <v/>
      </c>
      <c r="I46" t="str">
        <f>IF(COUNTIF('outliers per techniques &amp; human'!H$3:H$42,'outliers per techniques &amp; human'!W47),'outliers per techniques &amp; human'!W47,"")</f>
        <v/>
      </c>
      <c r="J46" t="str">
        <f>IF(COUNTIF('outliers per techniques &amp; human'!I$3:I$21,'outliers per techniques &amp; human'!W47),'outliers per techniques &amp; human'!W47,"")</f>
        <v/>
      </c>
      <c r="K46" t="str">
        <f>IF(COUNTIF('outliers per techniques &amp; human'!J$3:J$47,'outliers per techniques &amp; human'!W47),'outliers per techniques &amp; human'!W47,"")</f>
        <v/>
      </c>
      <c r="L46" t="str">
        <f>IF(COUNTIF('outliers per techniques &amp; human'!K$3:K$78,'outliers per techniques &amp; human'!W47),'outliers per techniques &amp; human'!W47,"")</f>
        <v>noored</v>
      </c>
      <c r="M46" t="str">
        <f>IF(COUNTIF('outliers per techniques &amp; human'!L$3:L$17,'outliers per techniques &amp; human'!W47),'outliers per techniques &amp; human'!W47,"")</f>
        <v/>
      </c>
      <c r="N46" t="str">
        <f>IF(COUNTIF('outliers per techniques &amp; human'!M$3:M$200,'outliers per techniques &amp; human'!W47),'outliers per techniques &amp; human'!W47,"")</f>
        <v/>
      </c>
      <c r="O46" t="str">
        <f>IF(COUNTIF('outliers per techniques &amp; human'!N$3:N$25,'outliers per techniques &amp; human'!W47),'outliers per techniques &amp; human'!W47,"")</f>
        <v/>
      </c>
      <c r="P46" t="str">
        <f>IF(COUNTIF('outliers per techniques &amp; human'!O$3:O$368,'outliers per techniques &amp; human'!W47),'outliers per techniques &amp; human'!W47,"")</f>
        <v/>
      </c>
    </row>
    <row r="47" spans="2:16" x14ac:dyDescent="0.25">
      <c r="B47" s="4" t="str">
        <f>IF(COUNTIF('outliers per techniques &amp; human'!A$3:A$28,'outliers per techniques &amp; human'!$W48),'outliers per techniques &amp; human'!$W48,"")</f>
        <v/>
      </c>
      <c r="C47" t="str">
        <f>IF(COUNTIF('outliers per techniques &amp; human'!B$3:B$28,'outliers per techniques &amp; human'!W48),'outliers per techniques &amp; human'!W48,"")</f>
        <v/>
      </c>
      <c r="D47" t="str">
        <f>IF(COUNTIF('outliers per techniques &amp; human'!C$3:C$38,'outliers per techniques &amp; human'!W48),'outliers per techniques &amp; human'!W48,"")</f>
        <v/>
      </c>
      <c r="E47" t="str">
        <f>IF(COUNTIF('outliers per techniques &amp; human'!D$3:D$38,'outliers per techniques &amp; human'!W48),'outliers per techniques &amp; human'!W48,"")</f>
        <v/>
      </c>
      <c r="F47" t="str">
        <f>IF(COUNTIF('outliers per techniques &amp; human'!E$3:E$24,'outliers per techniques &amp; human'!W48),'outliers per techniques &amp; human'!W48,"")</f>
        <v/>
      </c>
      <c r="G47" t="str">
        <f>IF(COUNTIF('outliers per techniques &amp; human'!F$3:F$24,'outliers per techniques &amp; human'!W48),'outliers per techniques &amp; human'!W48,"")</f>
        <v/>
      </c>
      <c r="H47" t="str">
        <f>IF(COUNTIF('outliers per techniques &amp; human'!G$3:G$42,'outliers per techniques &amp; human'!W48),'outliers per techniques &amp; human'!W48,"")</f>
        <v/>
      </c>
      <c r="I47" t="str">
        <f>IF(COUNTIF('outliers per techniques &amp; human'!H$3:H$42,'outliers per techniques &amp; human'!W48),'outliers per techniques &amp; human'!W48,"")</f>
        <v/>
      </c>
      <c r="J47" t="str">
        <f>IF(COUNTIF('outliers per techniques &amp; human'!I$3:I$21,'outliers per techniques &amp; human'!W48),'outliers per techniques &amp; human'!W48,"")</f>
        <v/>
      </c>
      <c r="K47" t="str">
        <f>IF(COUNTIF('outliers per techniques &amp; human'!J$3:J$47,'outliers per techniques &amp; human'!W48),'outliers per techniques &amp; human'!W48,"")</f>
        <v/>
      </c>
      <c r="L47" t="str">
        <f>IF(COUNTIF('outliers per techniques &amp; human'!K$3:K$78,'outliers per techniques &amp; human'!W48),'outliers per techniques &amp; human'!W48,"")</f>
        <v/>
      </c>
      <c r="M47" t="str">
        <f>IF(COUNTIF('outliers per techniques &amp; human'!L$3:L$17,'outliers per techniques &amp; human'!W48),'outliers per techniques &amp; human'!W48,"")</f>
        <v/>
      </c>
      <c r="N47" t="str">
        <f>IF(COUNTIF('outliers per techniques &amp; human'!M$3:M$200,'outliers per techniques &amp; human'!W48),'outliers per techniques &amp; human'!W48,"")</f>
        <v>informationsmarkt</v>
      </c>
      <c r="O47" t="str">
        <f>IF(COUNTIF('outliers per techniques &amp; human'!N$3:N$25,'outliers per techniques &amp; human'!W48),'outliers per techniques &amp; human'!W48,"")</f>
        <v/>
      </c>
      <c r="P47" t="str">
        <f>IF(COUNTIF('outliers per techniques &amp; human'!O$3:O$368,'outliers per techniques &amp; human'!W48),'outliers per techniques &amp; human'!W48,"")</f>
        <v>informationsmarkt</v>
      </c>
    </row>
    <row r="48" spans="2:16" x14ac:dyDescent="0.25">
      <c r="B48" s="4" t="str">
        <f>IF(COUNTIF('outliers per techniques &amp; human'!A$3:A$28,'outliers per techniques &amp; human'!$W49),'outliers per techniques &amp; human'!$W49,"")</f>
        <v/>
      </c>
      <c r="C48" t="str">
        <f>IF(COUNTIF('outliers per techniques &amp; human'!B$3:B$28,'outliers per techniques &amp; human'!W49),'outliers per techniques &amp; human'!W49,"")</f>
        <v/>
      </c>
      <c r="D48" t="str">
        <f>IF(COUNTIF('outliers per techniques &amp; human'!C$3:C$38,'outliers per techniques &amp; human'!W49),'outliers per techniques &amp; human'!W49,"")</f>
        <v/>
      </c>
      <c r="E48" t="str">
        <f>IF(COUNTIF('outliers per techniques &amp; human'!D$3:D$38,'outliers per techniques &amp; human'!W49),'outliers per techniques &amp; human'!W49,"")</f>
        <v/>
      </c>
      <c r="F48" t="str">
        <f>IF(COUNTIF('outliers per techniques &amp; human'!E$3:E$24,'outliers per techniques &amp; human'!W49),'outliers per techniques &amp; human'!W49,"")</f>
        <v/>
      </c>
      <c r="G48" t="str">
        <f>IF(COUNTIF('outliers per techniques &amp; human'!F$3:F$24,'outliers per techniques &amp; human'!W49),'outliers per techniques &amp; human'!W49,"")</f>
        <v/>
      </c>
      <c r="H48" t="str">
        <f>IF(COUNTIF('outliers per techniques &amp; human'!G$3:G$42,'outliers per techniques &amp; human'!W49),'outliers per techniques &amp; human'!W49,"")</f>
        <v/>
      </c>
      <c r="I48" t="str">
        <f>IF(COUNTIF('outliers per techniques &amp; human'!H$3:H$42,'outliers per techniques &amp; human'!W49),'outliers per techniques &amp; human'!W49,"")</f>
        <v/>
      </c>
      <c r="J48" t="str">
        <f>IF(COUNTIF('outliers per techniques &amp; human'!I$3:I$21,'outliers per techniques &amp; human'!W49),'outliers per techniques &amp; human'!W49,"")</f>
        <v/>
      </c>
      <c r="K48" t="str">
        <f>IF(COUNTIF('outliers per techniques &amp; human'!J$3:J$47,'outliers per techniques &amp; human'!W49),'outliers per techniques &amp; human'!W49,"")</f>
        <v/>
      </c>
      <c r="L48" t="str">
        <f>IF(COUNTIF('outliers per techniques &amp; human'!K$3:K$78,'outliers per techniques &amp; human'!W49),'outliers per techniques &amp; human'!W49,"")</f>
        <v/>
      </c>
      <c r="M48" t="str">
        <f>IF(COUNTIF('outliers per techniques &amp; human'!L$3:L$17,'outliers per techniques &amp; human'!W49),'outliers per techniques &amp; human'!W49,"")</f>
        <v/>
      </c>
      <c r="N48" t="str">
        <f>IF(COUNTIF('outliers per techniques &amp; human'!M$3:M$200,'outliers per techniques &amp; human'!W49),'outliers per techniques &amp; human'!W49,"")</f>
        <v>marius</v>
      </c>
      <c r="O48" t="str">
        <f>IF(COUNTIF('outliers per techniques &amp; human'!N$3:N$25,'outliers per techniques &amp; human'!W49),'outliers per techniques &amp; human'!W49,"")</f>
        <v/>
      </c>
      <c r="P48" t="str">
        <f>IF(COUNTIF('outliers per techniques &amp; human'!O$3:O$368,'outliers per techniques &amp; human'!W49),'outliers per techniques &amp; human'!W49,"")</f>
        <v/>
      </c>
    </row>
    <row r="49" spans="2:16" x14ac:dyDescent="0.25">
      <c r="B49" s="4" t="str">
        <f>IF(COUNTIF('outliers per techniques &amp; human'!A$3:A$28,'outliers per techniques &amp; human'!$W50),'outliers per techniques &amp; human'!$W50,"")</f>
        <v/>
      </c>
      <c r="C49" t="str">
        <f>IF(COUNTIF('outliers per techniques &amp; human'!B$3:B$28,'outliers per techniques &amp; human'!W50),'outliers per techniques &amp; human'!W50,"")</f>
        <v/>
      </c>
      <c r="D49" t="str">
        <f>IF(COUNTIF('outliers per techniques &amp; human'!C$3:C$38,'outliers per techniques &amp; human'!W50),'outliers per techniques &amp; human'!W50,"")</f>
        <v/>
      </c>
      <c r="E49" t="str">
        <f>IF(COUNTIF('outliers per techniques &amp; human'!D$3:D$38,'outliers per techniques &amp; human'!W50),'outliers per techniques &amp; human'!W50,"")</f>
        <v/>
      </c>
      <c r="F49" t="str">
        <f>IF(COUNTIF('outliers per techniques &amp; human'!E$3:E$24,'outliers per techniques &amp; human'!W50),'outliers per techniques &amp; human'!W50,"")</f>
        <v/>
      </c>
      <c r="G49" t="str">
        <f>IF(COUNTIF('outliers per techniques &amp; human'!F$3:F$24,'outliers per techniques &amp; human'!W50),'outliers per techniques &amp; human'!W50,"")</f>
        <v/>
      </c>
      <c r="H49" t="str">
        <f>IF(COUNTIF('outliers per techniques &amp; human'!G$3:G$42,'outliers per techniques &amp; human'!W50),'outliers per techniques &amp; human'!W50,"")</f>
        <v/>
      </c>
      <c r="I49" t="str">
        <f>IF(COUNTIF('outliers per techniques &amp; human'!H$3:H$42,'outliers per techniques &amp; human'!W50),'outliers per techniques &amp; human'!W50,"")</f>
        <v/>
      </c>
      <c r="J49" t="str">
        <f>IF(COUNTIF('outliers per techniques &amp; human'!I$3:I$21,'outliers per techniques &amp; human'!W50),'outliers per techniques &amp; human'!W50,"")</f>
        <v/>
      </c>
      <c r="K49" t="str">
        <f>IF(COUNTIF('outliers per techniques &amp; human'!J$3:J$47,'outliers per techniques &amp; human'!W50),'outliers per techniques &amp; human'!W50,"")</f>
        <v/>
      </c>
      <c r="L49" t="str">
        <f>IF(COUNTIF('outliers per techniques &amp; human'!K$3:K$78,'outliers per techniques &amp; human'!W50),'outliers per techniques &amp; human'!W50,"")</f>
        <v/>
      </c>
      <c r="M49" t="str">
        <f>IF(COUNTIF('outliers per techniques &amp; human'!L$3:L$17,'outliers per techniques &amp; human'!W50),'outliers per techniques &amp; human'!W50,"")</f>
        <v/>
      </c>
      <c r="N49" t="str">
        <f>IF(COUNTIF('outliers per techniques &amp; human'!M$3:M$200,'outliers per techniques &amp; human'!W50),'outliers per techniques &amp; human'!W50,"")</f>
        <v>informationszeitalter</v>
      </c>
      <c r="O49" t="str">
        <f>IF(COUNTIF('outliers per techniques &amp; human'!N$3:N$25,'outliers per techniques &amp; human'!W50),'outliers per techniques &amp; human'!W50,"")</f>
        <v/>
      </c>
      <c r="P49" t="str">
        <f>IF(COUNTIF('outliers per techniques &amp; human'!O$3:O$368,'outliers per techniques &amp; human'!W50),'outliers per techniques &amp; human'!W50,"")</f>
        <v/>
      </c>
    </row>
    <row r="50" spans="2:16" x14ac:dyDescent="0.25">
      <c r="B50" s="4" t="str">
        <f>IF(COUNTIF('outliers per techniques &amp; human'!A$3:A$28,'outliers per techniques &amp; human'!$W51),'outliers per techniques &amp; human'!$W51,"")</f>
        <v/>
      </c>
      <c r="C50" t="str">
        <f>IF(COUNTIF('outliers per techniques &amp; human'!B$3:B$28,'outliers per techniques &amp; human'!W51),'outliers per techniques &amp; human'!W51,"")</f>
        <v/>
      </c>
      <c r="D50" t="str">
        <f>IF(COUNTIF('outliers per techniques &amp; human'!C$3:C$38,'outliers per techniques &amp; human'!W51),'outliers per techniques &amp; human'!W51,"")</f>
        <v/>
      </c>
      <c r="E50" t="str">
        <f>IF(COUNTIF('outliers per techniques &amp; human'!D$3:D$38,'outliers per techniques &amp; human'!W51),'outliers per techniques &amp; human'!W51,"")</f>
        <v/>
      </c>
      <c r="F50" t="str">
        <f>IF(COUNTIF('outliers per techniques &amp; human'!E$3:E$24,'outliers per techniques &amp; human'!W51),'outliers per techniques &amp; human'!W51,"")</f>
        <v/>
      </c>
      <c r="G50" t="str">
        <f>IF(COUNTIF('outliers per techniques &amp; human'!F$3:F$24,'outliers per techniques &amp; human'!W51),'outliers per techniques &amp; human'!W51,"")</f>
        <v/>
      </c>
      <c r="H50" t="str">
        <f>IF(COUNTIF('outliers per techniques &amp; human'!G$3:G$42,'outliers per techniques &amp; human'!W51),'outliers per techniques &amp; human'!W51,"")</f>
        <v/>
      </c>
      <c r="I50" t="str">
        <f>IF(COUNTIF('outliers per techniques &amp; human'!H$3:H$42,'outliers per techniques &amp; human'!W51),'outliers per techniques &amp; human'!W51,"")</f>
        <v/>
      </c>
      <c r="J50" t="str">
        <f>IF(COUNTIF('outliers per techniques &amp; human'!I$3:I$21,'outliers per techniques &amp; human'!W51),'outliers per techniques &amp; human'!W51,"")</f>
        <v/>
      </c>
      <c r="K50" t="str">
        <f>IF(COUNTIF('outliers per techniques &amp; human'!J$3:J$47,'outliers per techniques &amp; human'!W51),'outliers per techniques &amp; human'!W51,"")</f>
        <v/>
      </c>
      <c r="L50" t="str">
        <f>IF(COUNTIF('outliers per techniques &amp; human'!K$3:K$78,'outliers per techniques &amp; human'!W51),'outliers per techniques &amp; human'!W51,"")</f>
        <v/>
      </c>
      <c r="M50" t="str">
        <f>IF(COUNTIF('outliers per techniques &amp; human'!L$3:L$17,'outliers per techniques &amp; human'!W51),'outliers per techniques &amp; human'!W51,"")</f>
        <v/>
      </c>
      <c r="N50" t="str">
        <f>IF(COUNTIF('outliers per techniques &amp; human'!M$3:M$200,'outliers per techniques &amp; human'!W51),'outliers per techniques &amp; human'!W51,"")</f>
        <v>mockito</v>
      </c>
      <c r="O50" t="str">
        <f>IF(COUNTIF('outliers per techniques &amp; human'!N$3:N$25,'outliers per techniques &amp; human'!W51),'outliers per techniques &amp; human'!W51,"")</f>
        <v/>
      </c>
      <c r="P50" t="str">
        <f>IF(COUNTIF('outliers per techniques &amp; human'!O$3:O$368,'outliers per techniques &amp; human'!W51),'outliers per techniques &amp; human'!W51,"")</f>
        <v/>
      </c>
    </row>
    <row r="51" spans="2:16" x14ac:dyDescent="0.25">
      <c r="B51" s="4" t="str">
        <f>IF(COUNTIF('outliers per techniques &amp; human'!A$3:A$28,'outliers per techniques &amp; human'!$W52),'outliers per techniques &amp; human'!$W52,"")</f>
        <v/>
      </c>
      <c r="C51" t="str">
        <f>IF(COUNTIF('outliers per techniques &amp; human'!B$3:B$28,'outliers per techniques &amp; human'!W52),'outliers per techniques &amp; human'!W52,"")</f>
        <v/>
      </c>
      <c r="D51" t="str">
        <f>IF(COUNTIF('outliers per techniques &amp; human'!C$3:C$38,'outliers per techniques &amp; human'!W52),'outliers per techniques &amp; human'!W52,"")</f>
        <v/>
      </c>
      <c r="E51" t="str">
        <f>IF(COUNTIF('outliers per techniques &amp; human'!D$3:D$38,'outliers per techniques &amp; human'!W52),'outliers per techniques &amp; human'!W52,"")</f>
        <v/>
      </c>
      <c r="F51" t="str">
        <f>IF(COUNTIF('outliers per techniques &amp; human'!E$3:E$24,'outliers per techniques &amp; human'!W52),'outliers per techniques &amp; human'!W52,"")</f>
        <v/>
      </c>
      <c r="G51" t="str">
        <f>IF(COUNTIF('outliers per techniques &amp; human'!F$3:F$24,'outliers per techniques &amp; human'!W52),'outliers per techniques &amp; human'!W52,"")</f>
        <v/>
      </c>
      <c r="H51" t="str">
        <f>IF(COUNTIF('outliers per techniques &amp; human'!G$3:G$42,'outliers per techniques &amp; human'!W52),'outliers per techniques &amp; human'!W52,"")</f>
        <v/>
      </c>
      <c r="I51" t="str">
        <f>IF(COUNTIF('outliers per techniques &amp; human'!H$3:H$42,'outliers per techniques &amp; human'!W52),'outliers per techniques &amp; human'!W52,"")</f>
        <v/>
      </c>
      <c r="J51" t="str">
        <f>IF(COUNTIF('outliers per techniques &amp; human'!I$3:I$21,'outliers per techniques &amp; human'!W52),'outliers per techniques &amp; human'!W52,"")</f>
        <v/>
      </c>
      <c r="K51" t="str">
        <f>IF(COUNTIF('outliers per techniques &amp; human'!J$3:J$47,'outliers per techniques &amp; human'!W52),'outliers per techniques &amp; human'!W52,"")</f>
        <v/>
      </c>
      <c r="L51" t="str">
        <f>IF(COUNTIF('outliers per techniques &amp; human'!K$3:K$78,'outliers per techniques &amp; human'!W52),'outliers per techniques &amp; human'!W52,"")</f>
        <v/>
      </c>
      <c r="M51" t="str">
        <f>IF(COUNTIF('outliers per techniques &amp; human'!L$3:L$17,'outliers per techniques &amp; human'!W52),'outliers per techniques &amp; human'!W52,"")</f>
        <v/>
      </c>
      <c r="N51" t="str">
        <f>IF(COUNTIF('outliers per techniques &amp; human'!M$3:M$200,'outliers per techniques &amp; human'!W52),'outliers per techniques &amp; human'!W52,"")</f>
        <v>informationsextraktion</v>
      </c>
      <c r="O51" t="str">
        <f>IF(COUNTIF('outliers per techniques &amp; human'!N$3:N$25,'outliers per techniques &amp; human'!W52),'outliers per techniques &amp; human'!W52,"")</f>
        <v/>
      </c>
      <c r="P51" t="str">
        <f>IF(COUNTIF('outliers per techniques &amp; human'!O$3:O$368,'outliers per techniques &amp; human'!W52),'outliers per techniques &amp; human'!W52,"")</f>
        <v/>
      </c>
    </row>
    <row r="52" spans="2:16" x14ac:dyDescent="0.25">
      <c r="B52" s="4" t="str">
        <f>IF(COUNTIF('outliers per techniques &amp; human'!A$3:A$28,'outliers per techniques &amp; human'!$W53),'outliers per techniques &amp; human'!$W53,"")</f>
        <v/>
      </c>
      <c r="C52" t="str">
        <f>IF(COUNTIF('outliers per techniques &amp; human'!B$3:B$28,'outliers per techniques &amp; human'!W53),'outliers per techniques &amp; human'!W53,"")</f>
        <v/>
      </c>
      <c r="D52" t="str">
        <f>IF(COUNTIF('outliers per techniques &amp; human'!C$3:C$38,'outliers per techniques &amp; human'!W53),'outliers per techniques &amp; human'!W53,"")</f>
        <v/>
      </c>
      <c r="E52" t="str">
        <f>IF(COUNTIF('outliers per techniques &amp; human'!D$3:D$38,'outliers per techniques &amp; human'!W53),'outliers per techniques &amp; human'!W53,"")</f>
        <v/>
      </c>
      <c r="F52" t="str">
        <f>IF(COUNTIF('outliers per techniques &amp; human'!E$3:E$24,'outliers per techniques &amp; human'!W53),'outliers per techniques &amp; human'!W53,"")</f>
        <v/>
      </c>
      <c r="G52" t="str">
        <f>IF(COUNTIF('outliers per techniques &amp; human'!F$3:F$24,'outliers per techniques &amp; human'!W53),'outliers per techniques &amp; human'!W53,"")</f>
        <v/>
      </c>
      <c r="H52" t="str">
        <f>IF(COUNTIF('outliers per techniques &amp; human'!G$3:G$42,'outliers per techniques &amp; human'!W53),'outliers per techniques &amp; human'!W53,"")</f>
        <v/>
      </c>
      <c r="I52" t="str">
        <f>IF(COUNTIF('outliers per techniques &amp; human'!H$3:H$42,'outliers per techniques &amp; human'!W53),'outliers per techniques &amp; human'!W53,"")</f>
        <v/>
      </c>
      <c r="J52" t="str">
        <f>IF(COUNTIF('outliers per techniques &amp; human'!I$3:I$21,'outliers per techniques &amp; human'!W53),'outliers per techniques &amp; human'!W53,"")</f>
        <v/>
      </c>
      <c r="K52" t="str">
        <f>IF(COUNTIF('outliers per techniques &amp; human'!J$3:J$47,'outliers per techniques &amp; human'!W53),'outliers per techniques &amp; human'!W53,"")</f>
        <v/>
      </c>
      <c r="L52" t="str">
        <f>IF(COUNTIF('outliers per techniques &amp; human'!K$3:K$78,'outliers per techniques &amp; human'!W53),'outliers per techniques &amp; human'!W53,"")</f>
        <v/>
      </c>
      <c r="M52" t="str">
        <f>IF(COUNTIF('outliers per techniques &amp; human'!L$3:L$17,'outliers per techniques &amp; human'!W53),'outliers per techniques &amp; human'!W53,"")</f>
        <v/>
      </c>
      <c r="N52" t="str">
        <f>IF(COUNTIF('outliers per techniques &amp; human'!M$3:M$200,'outliers per techniques &amp; human'!W53),'outliers per techniques &amp; human'!W53,"")</f>
        <v/>
      </c>
      <c r="O52" t="str">
        <f>IF(COUNTIF('outliers per techniques &amp; human'!N$3:N$25,'outliers per techniques &amp; human'!W53),'outliers per techniques &amp; human'!W53,"")</f>
        <v/>
      </c>
      <c r="P52" t="str">
        <f>IF(COUNTIF('outliers per techniques &amp; human'!O$3:O$368,'outliers per techniques &amp; human'!W53),'outliers per techniques &amp; human'!W53,"")</f>
        <v>geopolitik</v>
      </c>
    </row>
    <row r="53" spans="2:16" x14ac:dyDescent="0.25">
      <c r="B53" s="4" t="str">
        <f>IF(COUNTIF('outliers per techniques &amp; human'!A$3:A$28,'outliers per techniques &amp; human'!$W54),'outliers per techniques &amp; human'!$W54,"")</f>
        <v/>
      </c>
      <c r="C53" t="str">
        <f>IF(COUNTIF('outliers per techniques &amp; human'!B$3:B$28,'outliers per techniques &amp; human'!W54),'outliers per techniques &amp; human'!W54,"")</f>
        <v>informationsdienstleistung</v>
      </c>
      <c r="D53" t="str">
        <f>IF(COUNTIF('outliers per techniques &amp; human'!C$3:C$38,'outliers per techniques &amp; human'!W54),'outliers per techniques &amp; human'!W54,"")</f>
        <v/>
      </c>
      <c r="E53" t="str">
        <f>IF(COUNTIF('outliers per techniques &amp; human'!D$3:D$38,'outliers per techniques &amp; human'!W54),'outliers per techniques &amp; human'!W54,"")</f>
        <v/>
      </c>
      <c r="F53" t="str">
        <f>IF(COUNTIF('outliers per techniques &amp; human'!E$3:E$24,'outliers per techniques &amp; human'!W54),'outliers per techniques &amp; human'!W54,"")</f>
        <v/>
      </c>
      <c r="G53" t="str">
        <f>IF(COUNTIF('outliers per techniques &amp; human'!F$3:F$24,'outliers per techniques &amp; human'!W54),'outliers per techniques &amp; human'!W54,"")</f>
        <v/>
      </c>
      <c r="H53" t="str">
        <f>IF(COUNTIF('outliers per techniques &amp; human'!G$3:G$42,'outliers per techniques &amp; human'!W54),'outliers per techniques &amp; human'!W54,"")</f>
        <v>informationsdienstleistung</v>
      </c>
      <c r="I53" t="str">
        <f>IF(COUNTIF('outliers per techniques &amp; human'!H$3:H$42,'outliers per techniques &amp; human'!W54),'outliers per techniques &amp; human'!W54,"")</f>
        <v/>
      </c>
      <c r="J53" t="str">
        <f>IF(COUNTIF('outliers per techniques &amp; human'!I$3:I$21,'outliers per techniques &amp; human'!W54),'outliers per techniques &amp; human'!W54,"")</f>
        <v/>
      </c>
      <c r="K53" t="str">
        <f>IF(COUNTIF('outliers per techniques &amp; human'!J$3:J$47,'outliers per techniques &amp; human'!W54),'outliers per techniques &amp; human'!W54,"")</f>
        <v/>
      </c>
      <c r="L53" t="str">
        <f>IF(COUNTIF('outliers per techniques &amp; human'!K$3:K$78,'outliers per techniques &amp; human'!W54),'outliers per techniques &amp; human'!W54,"")</f>
        <v/>
      </c>
      <c r="M53" t="str">
        <f>IF(COUNTIF('outliers per techniques &amp; human'!L$3:L$17,'outliers per techniques &amp; human'!W54),'outliers per techniques &amp; human'!W54,"")</f>
        <v/>
      </c>
      <c r="N53" t="str">
        <f>IF(COUNTIF('outliers per techniques &amp; human'!M$3:M$200,'outliers per techniques &amp; human'!W54),'outliers per techniques &amp; human'!W54,"")</f>
        <v/>
      </c>
      <c r="O53" t="str">
        <f>IF(COUNTIF('outliers per techniques &amp; human'!N$3:N$25,'outliers per techniques &amp; human'!W54),'outliers per techniques &amp; human'!W54,"")</f>
        <v/>
      </c>
      <c r="P53" t="str">
        <f>IF(COUNTIF('outliers per techniques &amp; human'!O$3:O$368,'outliers per techniques &amp; human'!W54),'outliers per techniques &amp; human'!W54,"")</f>
        <v/>
      </c>
    </row>
    <row r="54" spans="2:16" x14ac:dyDescent="0.25">
      <c r="B54" s="4" t="str">
        <f>IF(COUNTIF('outliers per techniques &amp; human'!A$3:A$28,'outliers per techniques &amp; human'!$W55),'outliers per techniques &amp; human'!$W55,"")</f>
        <v/>
      </c>
      <c r="C54" t="str">
        <f>IF(COUNTIF('outliers per techniques &amp; human'!B$3:B$28,'outliers per techniques &amp; human'!W55),'outliers per techniques &amp; human'!W55,"")</f>
        <v/>
      </c>
      <c r="D54" t="str">
        <f>IF(COUNTIF('outliers per techniques &amp; human'!C$3:C$38,'outliers per techniques &amp; human'!W55),'outliers per techniques &amp; human'!W55,"")</f>
        <v/>
      </c>
      <c r="E54" t="str">
        <f>IF(COUNTIF('outliers per techniques &amp; human'!D$3:D$38,'outliers per techniques &amp; human'!W55),'outliers per techniques &amp; human'!W55,"")</f>
        <v/>
      </c>
      <c r="F54" t="str">
        <f>IF(COUNTIF('outliers per techniques &amp; human'!E$3:E$24,'outliers per techniques &amp; human'!W55),'outliers per techniques &amp; human'!W55,"")</f>
        <v/>
      </c>
      <c r="G54" t="str">
        <f>IF(COUNTIF('outliers per techniques &amp; human'!F$3:F$24,'outliers per techniques &amp; human'!W55),'outliers per techniques &amp; human'!W55,"")</f>
        <v/>
      </c>
      <c r="H54" t="str">
        <f>IF(COUNTIF('outliers per techniques &amp; human'!G$3:G$42,'outliers per techniques &amp; human'!W55),'outliers per techniques &amp; human'!W55,"")</f>
        <v/>
      </c>
      <c r="I54" t="str">
        <f>IF(COUNTIF('outliers per techniques &amp; human'!H$3:H$42,'outliers per techniques &amp; human'!W55),'outliers per techniques &amp; human'!W55,"")</f>
        <v/>
      </c>
      <c r="J54" t="str">
        <f>IF(COUNTIF('outliers per techniques &amp; human'!I$3:I$21,'outliers per techniques &amp; human'!W55),'outliers per techniques &amp; human'!W55,"")</f>
        <v/>
      </c>
      <c r="K54" t="str">
        <f>IF(COUNTIF('outliers per techniques &amp; human'!J$3:J$47,'outliers per techniques &amp; human'!W55),'outliers per techniques &amp; human'!W55,"")</f>
        <v/>
      </c>
      <c r="L54" t="str">
        <f>IF(COUNTIF('outliers per techniques &amp; human'!K$3:K$78,'outliers per techniques &amp; human'!W55),'outliers per techniques &amp; human'!W55,"")</f>
        <v/>
      </c>
      <c r="M54" t="str">
        <f>IF(COUNTIF('outliers per techniques &amp; human'!L$3:L$17,'outliers per techniques &amp; human'!W55),'outliers per techniques &amp; human'!W55,"")</f>
        <v/>
      </c>
      <c r="N54" t="str">
        <f>IF(COUNTIF('outliers per techniques &amp; human'!M$3:M$200,'outliers per techniques &amp; human'!W55),'outliers per techniques &amp; human'!W55,"")</f>
        <v>inkunabeln</v>
      </c>
      <c r="O54" t="str">
        <f>IF(COUNTIF('outliers per techniques &amp; human'!N$3:N$25,'outliers per techniques &amp; human'!W55),'outliers per techniques &amp; human'!W55,"")</f>
        <v/>
      </c>
      <c r="P54" t="str">
        <f>IF(COUNTIF('outliers per techniques &amp; human'!O$3:O$368,'outliers per techniques &amp; human'!W55),'outliers per techniques &amp; human'!W55,"")</f>
        <v/>
      </c>
    </row>
    <row r="55" spans="2:16" x14ac:dyDescent="0.25">
      <c r="B55" s="4" t="str">
        <f>IF(COUNTIF('outliers per techniques &amp; human'!A$3:A$28,'outliers per techniques &amp; human'!$W56),'outliers per techniques &amp; human'!$W56,"")</f>
        <v/>
      </c>
      <c r="C55" t="str">
        <f>IF(COUNTIF('outliers per techniques &amp; human'!B$3:B$28,'outliers per techniques &amp; human'!W56),'outliers per techniques &amp; human'!W56,"")</f>
        <v/>
      </c>
      <c r="D55" t="str">
        <f>IF(COUNTIF('outliers per techniques &amp; human'!C$3:C$38,'outliers per techniques &amp; human'!W56),'outliers per techniques &amp; human'!W56,"")</f>
        <v/>
      </c>
      <c r="E55" t="str">
        <f>IF(COUNTIF('outliers per techniques &amp; human'!D$3:D$38,'outliers per techniques &amp; human'!W56),'outliers per techniques &amp; human'!W56,"")</f>
        <v/>
      </c>
      <c r="F55" t="str">
        <f>IF(COUNTIF('outliers per techniques &amp; human'!E$3:E$24,'outliers per techniques &amp; human'!W56),'outliers per techniques &amp; human'!W56,"")</f>
        <v/>
      </c>
      <c r="G55" t="str">
        <f>IF(COUNTIF('outliers per techniques &amp; human'!F$3:F$24,'outliers per techniques &amp; human'!W56),'outliers per techniques &amp; human'!W56,"")</f>
        <v/>
      </c>
      <c r="H55" t="str">
        <f>IF(COUNTIF('outliers per techniques &amp; human'!G$3:G$42,'outliers per techniques &amp; human'!W56),'outliers per techniques &amp; human'!W56,"")</f>
        <v/>
      </c>
      <c r="I55" t="str">
        <f>IF(COUNTIF('outliers per techniques &amp; human'!H$3:H$42,'outliers per techniques &amp; human'!W56),'outliers per techniques &amp; human'!W56,"")</f>
        <v/>
      </c>
      <c r="J55" t="str">
        <f>IF(COUNTIF('outliers per techniques &amp; human'!I$3:I$21,'outliers per techniques &amp; human'!W56),'outliers per techniques &amp; human'!W56,"")</f>
        <v/>
      </c>
      <c r="K55" t="str">
        <f>IF(COUNTIF('outliers per techniques &amp; human'!J$3:J$47,'outliers per techniques &amp; human'!W56),'outliers per techniques &amp; human'!W56,"")</f>
        <v/>
      </c>
      <c r="L55" t="str">
        <f>IF(COUNTIF('outliers per techniques &amp; human'!K$3:K$78,'outliers per techniques &amp; human'!W56),'outliers per techniques &amp; human'!W56,"")</f>
        <v/>
      </c>
      <c r="M55" t="str">
        <f>IF(COUNTIF('outliers per techniques &amp; human'!L$3:L$17,'outliers per techniques &amp; human'!W56),'outliers per techniques &amp; human'!W56,"")</f>
        <v/>
      </c>
      <c r="N55" t="str">
        <f>IF(COUNTIF('outliers per techniques &amp; human'!M$3:M$200,'outliers per techniques &amp; human'!W56),'outliers per techniques &amp; human'!W56,"")</f>
        <v>two</v>
      </c>
      <c r="O55" t="str">
        <f>IF(COUNTIF('outliers per techniques &amp; human'!N$3:N$25,'outliers per techniques &amp; human'!W56),'outliers per techniques &amp; human'!W56,"")</f>
        <v/>
      </c>
      <c r="P55" t="str">
        <f>IF(COUNTIF('outliers per techniques &amp; human'!O$3:O$368,'outliers per techniques &amp; human'!W56),'outliers per techniques &amp; human'!W56,"")</f>
        <v/>
      </c>
    </row>
    <row r="56" spans="2:16" x14ac:dyDescent="0.25">
      <c r="B56" s="4" t="str">
        <f>IF(COUNTIF('outliers per techniques &amp; human'!A$3:A$28,'outliers per techniques &amp; human'!$W57),'outliers per techniques &amp; human'!$W57,"")</f>
        <v/>
      </c>
      <c r="C56" t="str">
        <f>IF(COUNTIF('outliers per techniques &amp; human'!B$3:B$28,'outliers per techniques &amp; human'!W57),'outliers per techniques &amp; human'!W57,"")</f>
        <v/>
      </c>
      <c r="D56" t="str">
        <f>IF(COUNTIF('outliers per techniques &amp; human'!C$3:C$38,'outliers per techniques &amp; human'!W57),'outliers per techniques &amp; human'!W57,"")</f>
        <v/>
      </c>
      <c r="E56" t="str">
        <f>IF(COUNTIF('outliers per techniques &amp; human'!D$3:D$38,'outliers per techniques &amp; human'!W57),'outliers per techniques &amp; human'!W57,"")</f>
        <v/>
      </c>
      <c r="F56" t="str">
        <f>IF(COUNTIF('outliers per techniques &amp; human'!E$3:E$24,'outliers per techniques &amp; human'!W57),'outliers per techniques &amp; human'!W57,"")</f>
        <v/>
      </c>
      <c r="G56" t="str">
        <f>IF(COUNTIF('outliers per techniques &amp; human'!F$3:F$24,'outliers per techniques &amp; human'!W57),'outliers per techniques &amp; human'!W57,"")</f>
        <v/>
      </c>
      <c r="H56" t="str">
        <f>IF(COUNTIF('outliers per techniques &amp; human'!G$3:G$42,'outliers per techniques &amp; human'!W57),'outliers per techniques &amp; human'!W57,"")</f>
        <v/>
      </c>
      <c r="I56" t="str">
        <f>IF(COUNTIF('outliers per techniques &amp; human'!H$3:H$42,'outliers per techniques &amp; human'!W57),'outliers per techniques &amp; human'!W57,"")</f>
        <v/>
      </c>
      <c r="J56" t="str">
        <f>IF(COUNTIF('outliers per techniques &amp; human'!I$3:I$21,'outliers per techniques &amp; human'!W57),'outliers per techniques &amp; human'!W57,"")</f>
        <v/>
      </c>
      <c r="K56" t="str">
        <f>IF(COUNTIF('outliers per techniques &amp; human'!J$3:J$47,'outliers per techniques &amp; human'!W57),'outliers per techniques &amp; human'!W57,"")</f>
        <v/>
      </c>
      <c r="L56" t="str">
        <f>IF(COUNTIF('outliers per techniques &amp; human'!K$3:K$78,'outliers per techniques &amp; human'!W57),'outliers per techniques &amp; human'!W57,"")</f>
        <v/>
      </c>
      <c r="M56" t="str">
        <f>IF(COUNTIF('outliers per techniques &amp; human'!L$3:L$17,'outliers per techniques &amp; human'!W57),'outliers per techniques &amp; human'!W57,"")</f>
        <v/>
      </c>
      <c r="N56" t="str">
        <f>IF(COUNTIF('outliers per techniques &amp; human'!M$3:M$200,'outliers per techniques &amp; human'!W57),'outliers per techniques &amp; human'!W57,"")</f>
        <v>kartografie</v>
      </c>
      <c r="O56" t="str">
        <f>IF(COUNTIF('outliers per techniques &amp; human'!N$3:N$25,'outliers per techniques &amp; human'!W57),'outliers per techniques &amp; human'!W57,"")</f>
        <v/>
      </c>
      <c r="P56" t="str">
        <f>IF(COUNTIF('outliers per techniques &amp; human'!O$3:O$368,'outliers per techniques &amp; human'!W57),'outliers per techniques &amp; human'!W57,"")</f>
        <v/>
      </c>
    </row>
    <row r="57" spans="2:16" x14ac:dyDescent="0.25">
      <c r="B57" s="4" t="str">
        <f>IF(COUNTIF('outliers per techniques &amp; human'!A$3:A$28,'outliers per techniques &amp; human'!$W58),'outliers per techniques &amp; human'!$W58,"")</f>
        <v/>
      </c>
      <c r="C57" t="str">
        <f>IF(COUNTIF('outliers per techniques &amp; human'!B$3:B$28,'outliers per techniques &amp; human'!W58),'outliers per techniques &amp; human'!W58,"")</f>
        <v/>
      </c>
      <c r="D57" t="str">
        <f>IF(COUNTIF('outliers per techniques &amp; human'!C$3:C$38,'outliers per techniques &amp; human'!W58),'outliers per techniques &amp; human'!W58,"")</f>
        <v/>
      </c>
      <c r="E57" t="str">
        <f>IF(COUNTIF('outliers per techniques &amp; human'!D$3:D$38,'outliers per techniques &amp; human'!W58),'outliers per techniques &amp; human'!W58,"")</f>
        <v/>
      </c>
      <c r="F57" t="str">
        <f>IF(COUNTIF('outliers per techniques &amp; human'!E$3:E$24,'outliers per techniques &amp; human'!W58),'outliers per techniques &amp; human'!W58,"")</f>
        <v/>
      </c>
      <c r="G57" t="str">
        <f>IF(COUNTIF('outliers per techniques &amp; human'!F$3:F$24,'outliers per techniques &amp; human'!W58),'outliers per techniques &amp; human'!W58,"")</f>
        <v/>
      </c>
      <c r="H57" t="str">
        <f>IF(COUNTIF('outliers per techniques &amp; human'!G$3:G$42,'outliers per techniques &amp; human'!W58),'outliers per techniques &amp; human'!W58,"")</f>
        <v/>
      </c>
      <c r="I57" t="str">
        <f>IF(COUNTIF('outliers per techniques &amp; human'!H$3:H$42,'outliers per techniques &amp; human'!W58),'outliers per techniques &amp; human'!W58,"")</f>
        <v/>
      </c>
      <c r="J57" t="str">
        <f>IF(COUNTIF('outliers per techniques &amp; human'!I$3:I$21,'outliers per techniques &amp; human'!W58),'outliers per techniques &amp; human'!W58,"")</f>
        <v/>
      </c>
      <c r="K57" t="str">
        <f>IF(COUNTIF('outliers per techniques &amp; human'!J$3:J$47,'outliers per techniques &amp; human'!W58),'outliers per techniques &amp; human'!W58,"")</f>
        <v/>
      </c>
      <c r="L57" t="str">
        <f>IF(COUNTIF('outliers per techniques &amp; human'!K$3:K$78,'outliers per techniques &amp; human'!W58),'outliers per techniques &amp; human'!W58,"")</f>
        <v/>
      </c>
      <c r="M57" t="str">
        <f>IF(COUNTIF('outliers per techniques &amp; human'!L$3:L$17,'outliers per techniques &amp; human'!W58),'outliers per techniques &amp; human'!W58,"")</f>
        <v/>
      </c>
      <c r="N57" t="str">
        <f>IF(COUNTIF('outliers per techniques &amp; human'!M$3:M$200,'outliers per techniques &amp; human'!W58),'outliers per techniques &amp; human'!W58,"")</f>
        <v>paulus</v>
      </c>
      <c r="O57" t="str">
        <f>IF(COUNTIF('outliers per techniques &amp; human'!N$3:N$25,'outliers per techniques &amp; human'!W58),'outliers per techniques &amp; human'!W58,"")</f>
        <v/>
      </c>
      <c r="P57" t="str">
        <f>IF(COUNTIF('outliers per techniques &amp; human'!O$3:O$368,'outliers per techniques &amp; human'!W58),'outliers per techniques &amp; human'!W58,"")</f>
        <v>paulus</v>
      </c>
    </row>
    <row r="58" spans="2:16" x14ac:dyDescent="0.25">
      <c r="B58" s="4" t="str">
        <f>IF(COUNTIF('outliers per techniques &amp; human'!A$3:A$28,'outliers per techniques &amp; human'!$W59),'outliers per techniques &amp; human'!$W59,"")</f>
        <v/>
      </c>
      <c r="C58" t="str">
        <f>IF(COUNTIF('outliers per techniques &amp; human'!B$3:B$28,'outliers per techniques &amp; human'!W59),'outliers per techniques &amp; human'!W59,"")</f>
        <v/>
      </c>
      <c r="D58" t="str">
        <f>IF(COUNTIF('outliers per techniques &amp; human'!C$3:C$38,'outliers per techniques &amp; human'!W59),'outliers per techniques &amp; human'!W59,"")</f>
        <v/>
      </c>
      <c r="E58" t="str">
        <f>IF(COUNTIF('outliers per techniques &amp; human'!D$3:D$38,'outliers per techniques &amp; human'!W59),'outliers per techniques &amp; human'!W59,"")</f>
        <v/>
      </c>
      <c r="F58" t="str">
        <f>IF(COUNTIF('outliers per techniques &amp; human'!E$3:E$24,'outliers per techniques &amp; human'!W59),'outliers per techniques &amp; human'!W59,"")</f>
        <v/>
      </c>
      <c r="G58" t="str">
        <f>IF(COUNTIF('outliers per techniques &amp; human'!F$3:F$24,'outliers per techniques &amp; human'!W59),'outliers per techniques &amp; human'!W59,"")</f>
        <v/>
      </c>
      <c r="H58" t="str">
        <f>IF(COUNTIF('outliers per techniques &amp; human'!G$3:G$42,'outliers per techniques &amp; human'!W59),'outliers per techniques &amp; human'!W59,"")</f>
        <v/>
      </c>
      <c r="I58" t="str">
        <f>IF(COUNTIF('outliers per techniques &amp; human'!H$3:H$42,'outliers per techniques &amp; human'!W59),'outliers per techniques &amp; human'!W59,"")</f>
        <v/>
      </c>
      <c r="J58" t="str">
        <f>IF(COUNTIF('outliers per techniques &amp; human'!I$3:I$21,'outliers per techniques &amp; human'!W59),'outliers per techniques &amp; human'!W59,"")</f>
        <v/>
      </c>
      <c r="K58" t="str">
        <f>IF(COUNTIF('outliers per techniques &amp; human'!J$3:J$47,'outliers per techniques &amp; human'!W59),'outliers per techniques &amp; human'!W59,"")</f>
        <v/>
      </c>
      <c r="L58" t="str">
        <f>IF(COUNTIF('outliers per techniques &amp; human'!K$3:K$78,'outliers per techniques &amp; human'!W59),'outliers per techniques &amp; human'!W59,"")</f>
        <v/>
      </c>
      <c r="M58" t="str">
        <f>IF(COUNTIF('outliers per techniques &amp; human'!L$3:L$17,'outliers per techniques &amp; human'!W59),'outliers per techniques &amp; human'!W59,"")</f>
        <v/>
      </c>
      <c r="N58" t="str">
        <f>IF(COUNTIF('outliers per techniques &amp; human'!M$3:M$200,'outliers per techniques &amp; human'!W59),'outliers per techniques &amp; human'!W59,"")</f>
        <v>prosopographie</v>
      </c>
      <c r="O58" t="str">
        <f>IF(COUNTIF('outliers per techniques &amp; human'!N$3:N$25,'outliers per techniques &amp; human'!W59),'outliers per techniques &amp; human'!W59,"")</f>
        <v/>
      </c>
      <c r="P58" t="str">
        <f>IF(COUNTIF('outliers per techniques &amp; human'!O$3:O$368,'outliers per techniques &amp; human'!W59),'outliers per techniques &amp; human'!W59,"")</f>
        <v/>
      </c>
    </row>
    <row r="59" spans="2:16" x14ac:dyDescent="0.25">
      <c r="B59" s="4" t="str">
        <f>IF(COUNTIF('outliers per techniques &amp; human'!A$3:A$28,'outliers per techniques &amp; human'!$W60),'outliers per techniques &amp; human'!$W60,"")</f>
        <v/>
      </c>
      <c r="C59" t="str">
        <f>IF(COUNTIF('outliers per techniques &amp; human'!B$3:B$28,'outliers per techniques &amp; human'!W60),'outliers per techniques &amp; human'!W60,"")</f>
        <v/>
      </c>
      <c r="D59" t="str">
        <f>IF(COUNTIF('outliers per techniques &amp; human'!C$3:C$38,'outliers per techniques &amp; human'!W60),'outliers per techniques &amp; human'!W60,"")</f>
        <v/>
      </c>
      <c r="E59" t="str">
        <f>IF(COUNTIF('outliers per techniques &amp; human'!D$3:D$38,'outliers per techniques &amp; human'!W60),'outliers per techniques &amp; human'!W60,"")</f>
        <v/>
      </c>
      <c r="F59" t="str">
        <f>IF(COUNTIF('outliers per techniques &amp; human'!E$3:E$24,'outliers per techniques &amp; human'!W60),'outliers per techniques &amp; human'!W60,"")</f>
        <v/>
      </c>
      <c r="G59" t="str">
        <f>IF(COUNTIF('outliers per techniques &amp; human'!F$3:F$24,'outliers per techniques &amp; human'!W60),'outliers per techniques &amp; human'!W60,"")</f>
        <v/>
      </c>
      <c r="H59" t="str">
        <f>IF(COUNTIF('outliers per techniques &amp; human'!G$3:G$42,'outliers per techniques &amp; human'!W60),'outliers per techniques &amp; human'!W60,"")</f>
        <v/>
      </c>
      <c r="I59" t="str">
        <f>IF(COUNTIF('outliers per techniques &amp; human'!H$3:H$42,'outliers per techniques &amp; human'!W60),'outliers per techniques &amp; human'!W60,"")</f>
        <v/>
      </c>
      <c r="J59" t="str">
        <f>IF(COUNTIF('outliers per techniques &amp; human'!I$3:I$21,'outliers per techniques &amp; human'!W60),'outliers per techniques &amp; human'!W60,"")</f>
        <v/>
      </c>
      <c r="K59" t="str">
        <f>IF(COUNTIF('outliers per techniques &amp; human'!J$3:J$47,'outliers per techniques &amp; human'!W60),'outliers per techniques &amp; human'!W60,"")</f>
        <v/>
      </c>
      <c r="L59" t="str">
        <f>IF(COUNTIF('outliers per techniques &amp; human'!K$3:K$78,'outliers per techniques &amp; human'!W60),'outliers per techniques &amp; human'!W60,"")</f>
        <v>bullshit</v>
      </c>
      <c r="M59" t="str">
        <f>IF(COUNTIF('outliers per techniques &amp; human'!L$3:L$17,'outliers per techniques &amp; human'!W60),'outliers per techniques &amp; human'!W60,"")</f>
        <v/>
      </c>
      <c r="N59" t="str">
        <f>IF(COUNTIF('outliers per techniques &amp; human'!M$3:M$200,'outliers per techniques &amp; human'!W60),'outliers per techniques &amp; human'!W60,"")</f>
        <v>bullshit</v>
      </c>
      <c r="O59" t="str">
        <f>IF(COUNTIF('outliers per techniques &amp; human'!N$3:N$25,'outliers per techniques &amp; human'!W60),'outliers per techniques &amp; human'!W60,"")</f>
        <v/>
      </c>
      <c r="P59" t="str">
        <f>IF(COUNTIF('outliers per techniques &amp; human'!O$3:O$368,'outliers per techniques &amp; human'!W60),'outliers per techniques &amp; human'!W60,"")</f>
        <v/>
      </c>
    </row>
    <row r="60" spans="2:16" x14ac:dyDescent="0.25">
      <c r="B60" s="4" t="str">
        <f>IF(COUNTIF('outliers per techniques &amp; human'!A$3:A$28,'outliers per techniques &amp; human'!$W61),'outliers per techniques &amp; human'!$W61,"")</f>
        <v/>
      </c>
      <c r="C60" t="str">
        <f>IF(COUNTIF('outliers per techniques &amp; human'!B$3:B$28,'outliers per techniques &amp; human'!W61),'outliers per techniques &amp; human'!W61,"")</f>
        <v/>
      </c>
      <c r="D60" t="str">
        <f>IF(COUNTIF('outliers per techniques &amp; human'!C$3:C$38,'outliers per techniques &amp; human'!W61),'outliers per techniques &amp; human'!W61,"")</f>
        <v>politologie</v>
      </c>
      <c r="E60" t="str">
        <f>IF(COUNTIF('outliers per techniques &amp; human'!D$3:D$38,'outliers per techniques &amp; human'!W61),'outliers per techniques &amp; human'!W61,"")</f>
        <v/>
      </c>
      <c r="F60" t="str">
        <f>IF(COUNTIF('outliers per techniques &amp; human'!E$3:E$24,'outliers per techniques &amp; human'!W61),'outliers per techniques &amp; human'!W61,"")</f>
        <v/>
      </c>
      <c r="G60" t="str">
        <f>IF(COUNTIF('outliers per techniques &amp; human'!F$3:F$24,'outliers per techniques &amp; human'!W61),'outliers per techniques &amp; human'!W61,"")</f>
        <v/>
      </c>
      <c r="H60" t="str">
        <f>IF(COUNTIF('outliers per techniques &amp; human'!G$3:G$42,'outliers per techniques &amp; human'!W61),'outliers per techniques &amp; human'!W61,"")</f>
        <v/>
      </c>
      <c r="I60" t="str">
        <f>IF(COUNTIF('outliers per techniques &amp; human'!H$3:H$42,'outliers per techniques &amp; human'!W61),'outliers per techniques &amp; human'!W61,"")</f>
        <v/>
      </c>
      <c r="J60" t="str">
        <f>IF(COUNTIF('outliers per techniques &amp; human'!I$3:I$21,'outliers per techniques &amp; human'!W61),'outliers per techniques &amp; human'!W61,"")</f>
        <v/>
      </c>
      <c r="K60" t="str">
        <f>IF(COUNTIF('outliers per techniques &amp; human'!J$3:J$47,'outliers per techniques &amp; human'!W61),'outliers per techniques &amp; human'!W61,"")</f>
        <v/>
      </c>
      <c r="L60" t="str">
        <f>IF(COUNTIF('outliers per techniques &amp; human'!K$3:K$78,'outliers per techniques &amp; human'!W61),'outliers per techniques &amp; human'!W61,"")</f>
        <v/>
      </c>
      <c r="M60" t="str">
        <f>IF(COUNTIF('outliers per techniques &amp; human'!L$3:L$17,'outliers per techniques &amp; human'!W61),'outliers per techniques &amp; human'!W61,"")</f>
        <v/>
      </c>
      <c r="N60" t="str">
        <f>IF(COUNTIF('outliers per techniques &amp; human'!M$3:M$200,'outliers per techniques &amp; human'!W61),'outliers per techniques &amp; human'!W61,"")</f>
        <v/>
      </c>
      <c r="O60" t="str">
        <f>IF(COUNTIF('outliers per techniques &amp; human'!N$3:N$25,'outliers per techniques &amp; human'!W61),'outliers per techniques &amp; human'!W61,"")</f>
        <v/>
      </c>
      <c r="P60" t="str">
        <f>IF(COUNTIF('outliers per techniques &amp; human'!O$3:O$368,'outliers per techniques &amp; human'!W61),'outliers per techniques &amp; human'!W61,"")</f>
        <v/>
      </c>
    </row>
    <row r="61" spans="2:16" x14ac:dyDescent="0.25">
      <c r="B61" s="4" t="str">
        <f>IF(COUNTIF('outliers per techniques &amp; human'!A$3:A$28,'outliers per techniques &amp; human'!$W62),'outliers per techniques &amp; human'!$W62,"")</f>
        <v>cites.ref</v>
      </c>
      <c r="C61" t="str">
        <f>IF(COUNTIF('outliers per techniques &amp; human'!B$3:B$28,'outliers per techniques &amp; human'!W62),'outliers per techniques &amp; human'!W62,"")</f>
        <v/>
      </c>
      <c r="D61" t="str">
        <f>IF(COUNTIF('outliers per techniques &amp; human'!C$3:C$38,'outliers per techniques &amp; human'!W62),'outliers per techniques &amp; human'!W62,"")</f>
        <v>cites.ref</v>
      </c>
      <c r="E61" t="str">
        <f>IF(COUNTIF('outliers per techniques &amp; human'!D$3:D$38,'outliers per techniques &amp; human'!W62),'outliers per techniques &amp; human'!W62,"")</f>
        <v/>
      </c>
      <c r="F61" t="str">
        <f>IF(COUNTIF('outliers per techniques &amp; human'!E$3:E$24,'outliers per techniques &amp; human'!W62),'outliers per techniques &amp; human'!W62,"")</f>
        <v/>
      </c>
      <c r="G61" t="str">
        <f>IF(COUNTIF('outliers per techniques &amp; human'!F$3:F$24,'outliers per techniques &amp; human'!W62),'outliers per techniques &amp; human'!W62,"")</f>
        <v/>
      </c>
      <c r="H61" t="str">
        <f>IF(COUNTIF('outliers per techniques &amp; human'!G$3:G$42,'outliers per techniques &amp; human'!W62),'outliers per techniques &amp; human'!W62,"")</f>
        <v/>
      </c>
      <c r="I61" t="str">
        <f>IF(COUNTIF('outliers per techniques &amp; human'!H$3:H$42,'outliers per techniques &amp; human'!W62),'outliers per techniques &amp; human'!W62,"")</f>
        <v/>
      </c>
      <c r="J61" t="str">
        <f>IF(COUNTIF('outliers per techniques &amp; human'!I$3:I$21,'outliers per techniques &amp; human'!W62),'outliers per techniques &amp; human'!W62,"")</f>
        <v>cites.ref</v>
      </c>
      <c r="K61" t="str">
        <f>IF(COUNTIF('outliers per techniques &amp; human'!J$3:J$47,'outliers per techniques &amp; human'!W62),'outliers per techniques &amp; human'!W62,"")</f>
        <v>cites.ref</v>
      </c>
      <c r="L61" t="str">
        <f>IF(COUNTIF('outliers per techniques &amp; human'!K$3:K$78,'outliers per techniques &amp; human'!W62),'outliers per techniques &amp; human'!W62,"")</f>
        <v>cites.ref</v>
      </c>
      <c r="M61" t="str">
        <f>IF(COUNTIF('outliers per techniques &amp; human'!L$3:L$17,'outliers per techniques &amp; human'!W62),'outliers per techniques &amp; human'!W62,"")</f>
        <v>cites.ref</v>
      </c>
      <c r="N61" t="str">
        <f>IF(COUNTIF('outliers per techniques &amp; human'!M$3:M$200,'outliers per techniques &amp; human'!W62),'outliers per techniques &amp; human'!W62,"")</f>
        <v>cites.ref</v>
      </c>
      <c r="O61" t="str">
        <f>IF(COUNTIF('outliers per techniques &amp; human'!N$3:N$25,'outliers per techniques &amp; human'!W62),'outliers per techniques &amp; human'!W62,"")</f>
        <v/>
      </c>
      <c r="P61" t="str">
        <f>IF(COUNTIF('outliers per techniques &amp; human'!O$3:O$368,'outliers per techniques &amp; human'!W62),'outliers per techniques &amp; human'!W62,"")</f>
        <v>cites.ref</v>
      </c>
    </row>
    <row r="62" spans="2:16" x14ac:dyDescent="0.25">
      <c r="B62" s="4" t="str">
        <f>IF(COUNTIF('outliers per techniques &amp; human'!A$3:A$28,'outliers per techniques &amp; human'!$W63),'outliers per techniques &amp; human'!$W63,"")</f>
        <v/>
      </c>
      <c r="C62" t="str">
        <f>IF(COUNTIF('outliers per techniques &amp; human'!B$3:B$28,'outliers per techniques &amp; human'!W63),'outliers per techniques &amp; human'!W63,"")</f>
        <v/>
      </c>
      <c r="D62" t="str">
        <f>IF(COUNTIF('outliers per techniques &amp; human'!C$3:C$38,'outliers per techniques &amp; human'!W63),'outliers per techniques &amp; human'!W63,"")</f>
        <v/>
      </c>
      <c r="E62" t="str">
        <f>IF(COUNTIF('outliers per techniques &amp; human'!D$3:D$38,'outliers per techniques &amp; human'!W63),'outliers per techniques &amp; human'!W63,"")</f>
        <v/>
      </c>
      <c r="F62" t="str">
        <f>IF(COUNTIF('outliers per techniques &amp; human'!E$3:E$24,'outliers per techniques &amp; human'!W63),'outliers per techniques &amp; human'!W63,"")</f>
        <v/>
      </c>
      <c r="G62" t="str">
        <f>IF(COUNTIF('outliers per techniques &amp; human'!F$3:F$24,'outliers per techniques &amp; human'!W63),'outliers per techniques &amp; human'!W63,"")</f>
        <v/>
      </c>
      <c r="H62" t="str">
        <f>IF(COUNTIF('outliers per techniques &amp; human'!G$3:G$42,'outliers per techniques &amp; human'!W63),'outliers per techniques &amp; human'!W63,"")</f>
        <v/>
      </c>
      <c r="I62" t="str">
        <f>IF(COUNTIF('outliers per techniques &amp; human'!H$3:H$42,'outliers per techniques &amp; human'!W63),'outliers per techniques &amp; human'!W63,"")</f>
        <v/>
      </c>
      <c r="J62" t="str">
        <f>IF(COUNTIF('outliers per techniques &amp; human'!I$3:I$21,'outliers per techniques &amp; human'!W63),'outliers per techniques &amp; human'!W63,"")</f>
        <v/>
      </c>
      <c r="K62" t="str">
        <f>IF(COUNTIF('outliers per techniques &amp; human'!J$3:J$47,'outliers per techniques &amp; human'!W63),'outliers per techniques &amp; human'!W63,"")</f>
        <v/>
      </c>
      <c r="L62" t="str">
        <f>IF(COUNTIF('outliers per techniques &amp; human'!K$3:K$78,'outliers per techniques &amp; human'!W63),'outliers per techniques &amp; human'!W63,"")</f>
        <v/>
      </c>
      <c r="M62" t="str">
        <f>IF(COUNTIF('outliers per techniques &amp; human'!L$3:L$17,'outliers per techniques &amp; human'!W63),'outliers per techniques &amp; human'!W63,"")</f>
        <v/>
      </c>
      <c r="N62" t="str">
        <f>IF(COUNTIF('outliers per techniques &amp; human'!M$3:M$200,'outliers per techniques &amp; human'!W63),'outliers per techniques &amp; human'!W63,"")</f>
        <v/>
      </c>
      <c r="O62" t="str">
        <f>IF(COUNTIF('outliers per techniques &amp; human'!N$3:N$25,'outliers per techniques &amp; human'!W63),'outliers per techniques &amp; human'!W63,"")</f>
        <v/>
      </c>
      <c r="P62" t="str">
        <f>IF(COUNTIF('outliers per techniques &amp; human'!O$3:O$368,'outliers per techniques &amp; human'!W63),'outliers per techniques &amp; human'!W63,"")</f>
        <v>zadar</v>
      </c>
    </row>
    <row r="63" spans="2:16" x14ac:dyDescent="0.25">
      <c r="B63" s="4" t="str">
        <f>IF(COUNTIF('outliers per techniques &amp; human'!A$3:A$28,'outliers per techniques &amp; human'!$W64),'outliers per techniques &amp; human'!$W64,"")</f>
        <v>daanbib</v>
      </c>
      <c r="C63" t="str">
        <f>IF(COUNTIF('outliers per techniques &amp; human'!B$3:B$28,'outliers per techniques &amp; human'!W64),'outliers per techniques &amp; human'!W64,"")</f>
        <v/>
      </c>
      <c r="D63" t="str">
        <f>IF(COUNTIF('outliers per techniques &amp; human'!C$3:C$38,'outliers per techniques &amp; human'!W64),'outliers per techniques &amp; human'!W64,"")</f>
        <v>daanbib</v>
      </c>
      <c r="E63" t="str">
        <f>IF(COUNTIF('outliers per techniques &amp; human'!D$3:D$38,'outliers per techniques &amp; human'!W64),'outliers per techniques &amp; human'!W64,"")</f>
        <v/>
      </c>
      <c r="F63" t="str">
        <f>IF(COUNTIF('outliers per techniques &amp; human'!E$3:E$24,'outliers per techniques &amp; human'!W64),'outliers per techniques &amp; human'!W64,"")</f>
        <v/>
      </c>
      <c r="G63" t="str">
        <f>IF(COUNTIF('outliers per techniques &amp; human'!F$3:F$24,'outliers per techniques &amp; human'!W64),'outliers per techniques &amp; human'!W64,"")</f>
        <v/>
      </c>
      <c r="H63" t="str">
        <f>IF(COUNTIF('outliers per techniques &amp; human'!G$3:G$42,'outliers per techniques &amp; human'!W64),'outliers per techniques &amp; human'!W64,"")</f>
        <v/>
      </c>
      <c r="I63" t="str">
        <f>IF(COUNTIF('outliers per techniques &amp; human'!H$3:H$42,'outliers per techniques &amp; human'!W64),'outliers per techniques &amp; human'!W64,"")</f>
        <v/>
      </c>
      <c r="J63" t="str">
        <f>IF(COUNTIF('outliers per techniques &amp; human'!I$3:I$21,'outliers per techniques &amp; human'!W64),'outliers per techniques &amp; human'!W64,"")</f>
        <v>daanbib</v>
      </c>
      <c r="K63" t="str">
        <f>IF(COUNTIF('outliers per techniques &amp; human'!J$3:J$47,'outliers per techniques &amp; human'!W64),'outliers per techniques &amp; human'!W64,"")</f>
        <v>daanbib</v>
      </c>
      <c r="L63" t="str">
        <f>IF(COUNTIF('outliers per techniques &amp; human'!K$3:K$78,'outliers per techniques &amp; human'!W64),'outliers per techniques &amp; human'!W64,"")</f>
        <v>daanbib</v>
      </c>
      <c r="M63" t="str">
        <f>IF(COUNTIF('outliers per techniques &amp; human'!L$3:L$17,'outliers per techniques &amp; human'!W64),'outliers per techniques &amp; human'!W64,"")</f>
        <v>daanbib</v>
      </c>
      <c r="N63" t="str">
        <f>IF(COUNTIF('outliers per techniques &amp; human'!M$3:M$200,'outliers per techniques &amp; human'!W64),'outliers per techniques &amp; human'!W64,"")</f>
        <v>daanbib</v>
      </c>
      <c r="O63" t="str">
        <f>IF(COUNTIF('outliers per techniques &amp; human'!N$3:N$25,'outliers per techniques &amp; human'!W64),'outliers per techniques &amp; human'!W64,"")</f>
        <v/>
      </c>
      <c r="P63" t="str">
        <f>IF(COUNTIF('outliers per techniques &amp; human'!O$3:O$368,'outliers per techniques &amp; human'!W64),'outliers per techniques &amp; human'!W64,"")</f>
        <v/>
      </c>
    </row>
    <row r="64" spans="2:16" x14ac:dyDescent="0.25">
      <c r="B64" s="4" t="str">
        <f>IF(COUNTIF('outliers per techniques &amp; human'!A$3:A$28,'outliers per techniques &amp; human'!$W65),'outliers per techniques &amp; human'!$W65,"")</f>
        <v/>
      </c>
      <c r="C64" t="str">
        <f>IF(COUNTIF('outliers per techniques &amp; human'!B$3:B$28,'outliers per techniques &amp; human'!W65),'outliers per techniques &amp; human'!W65,"")</f>
        <v/>
      </c>
      <c r="D64" t="str">
        <f>IF(COUNTIF('outliers per techniques &amp; human'!C$3:C$38,'outliers per techniques &amp; human'!W65),'outliers per techniques &amp; human'!W65,"")</f>
        <v/>
      </c>
      <c r="E64" t="str">
        <f>IF(COUNTIF('outliers per techniques &amp; human'!D$3:D$38,'outliers per techniques &amp; human'!W65),'outliers per techniques &amp; human'!W65,"")</f>
        <v/>
      </c>
      <c r="F64" t="str">
        <f>IF(COUNTIF('outliers per techniques &amp; human'!E$3:E$24,'outliers per techniques &amp; human'!W65),'outliers per techniques &amp; human'!W65,"")</f>
        <v/>
      </c>
      <c r="G64" t="str">
        <f>IF(COUNTIF('outliers per techniques &amp; human'!F$3:F$24,'outliers per techniques &amp; human'!W65),'outliers per techniques &amp; human'!W65,"")</f>
        <v/>
      </c>
      <c r="H64" t="str">
        <f>IF(COUNTIF('outliers per techniques &amp; human'!G$3:G$42,'outliers per techniques &amp; human'!W65),'outliers per techniques &amp; human'!W65,"")</f>
        <v/>
      </c>
      <c r="I64" t="str">
        <f>IF(COUNTIF('outliers per techniques &amp; human'!H$3:H$42,'outliers per techniques &amp; human'!W65),'outliers per techniques &amp; human'!W65,"")</f>
        <v/>
      </c>
      <c r="J64" t="str">
        <f>IF(COUNTIF('outliers per techniques &amp; human'!I$3:I$21,'outliers per techniques &amp; human'!W65),'outliers per techniques &amp; human'!W65,"")</f>
        <v/>
      </c>
      <c r="K64" t="str">
        <f>IF(COUNTIF('outliers per techniques &amp; human'!J$3:J$47,'outliers per techniques &amp; human'!W65),'outliers per techniques &amp; human'!W65,"")</f>
        <v/>
      </c>
      <c r="L64" t="str">
        <f>IF(COUNTIF('outliers per techniques &amp; human'!K$3:K$78,'outliers per techniques &amp; human'!W65),'outliers per techniques &amp; human'!W65,"")</f>
        <v/>
      </c>
      <c r="M64" t="str">
        <f>IF(COUNTIF('outliers per techniques &amp; human'!L$3:L$17,'outliers per techniques &amp; human'!W65),'outliers per techniques &amp; human'!W65,"")</f>
        <v/>
      </c>
      <c r="N64" t="str">
        <f>IF(COUNTIF('outliers per techniques &amp; human'!M$3:M$200,'outliers per techniques &amp; human'!W65),'outliers per techniques &amp; human'!W65,"")</f>
        <v/>
      </c>
      <c r="O64" t="str">
        <f>IF(COUNTIF('outliers per techniques &amp; human'!N$3:N$25,'outliers per techniques &amp; human'!W65),'outliers per techniques &amp; human'!W65,"")</f>
        <v/>
      </c>
      <c r="P64" t="str">
        <f>IF(COUNTIF('outliers per techniques &amp; human'!O$3:O$368,'outliers per techniques &amp; human'!W65),'outliers per techniques &amp; human'!W65,"")</f>
        <v>migrationsforschung</v>
      </c>
    </row>
    <row r="65" spans="2:16" x14ac:dyDescent="0.25">
      <c r="B65" s="4" t="str">
        <f>IF(COUNTIF('outliers per techniques &amp; human'!A$3:A$28,'outliers per techniques &amp; human'!$W66),'outliers per techniques &amp; human'!$W66,"")</f>
        <v/>
      </c>
      <c r="C65" t="str">
        <f>IF(COUNTIF('outliers per techniques &amp; human'!B$3:B$28,'outliers per techniques &amp; human'!W66),'outliers per techniques &amp; human'!W66,"")</f>
        <v/>
      </c>
      <c r="D65" t="str">
        <f>IF(COUNTIF('outliers per techniques &amp; human'!C$3:C$38,'outliers per techniques &amp; human'!W66),'outliers per techniques &amp; human'!W66,"")</f>
        <v/>
      </c>
      <c r="E65" t="str">
        <f>IF(COUNTIF('outliers per techniques &amp; human'!D$3:D$38,'outliers per techniques &amp; human'!W66),'outliers per techniques &amp; human'!W66,"")</f>
        <v/>
      </c>
      <c r="F65" t="str">
        <f>IF(COUNTIF('outliers per techniques &amp; human'!E$3:E$24,'outliers per techniques &amp; human'!W66),'outliers per techniques &amp; human'!W66,"")</f>
        <v/>
      </c>
      <c r="G65" t="str">
        <f>IF(COUNTIF('outliers per techniques &amp; human'!F$3:F$24,'outliers per techniques &amp; human'!W66),'outliers per techniques &amp; human'!W66,"")</f>
        <v/>
      </c>
      <c r="H65" t="str">
        <f>IF(COUNTIF('outliers per techniques &amp; human'!G$3:G$42,'outliers per techniques &amp; human'!W66),'outliers per techniques &amp; human'!W66,"")</f>
        <v/>
      </c>
      <c r="I65" t="str">
        <f>IF(COUNTIF('outliers per techniques &amp; human'!H$3:H$42,'outliers per techniques &amp; human'!W66),'outliers per techniques &amp; human'!W66,"")</f>
        <v/>
      </c>
      <c r="J65" t="str">
        <f>IF(COUNTIF('outliers per techniques &amp; human'!I$3:I$21,'outliers per techniques &amp; human'!W66),'outliers per techniques &amp; human'!W66,"")</f>
        <v/>
      </c>
      <c r="K65" t="str">
        <f>IF(COUNTIF('outliers per techniques &amp; human'!J$3:J$47,'outliers per techniques &amp; human'!W66),'outliers per techniques &amp; human'!W66,"")</f>
        <v/>
      </c>
      <c r="L65" t="str">
        <f>IF(COUNTIF('outliers per techniques &amp; human'!K$3:K$78,'outliers per techniques &amp; human'!W66),'outliers per techniques &amp; human'!W66,"")</f>
        <v/>
      </c>
      <c r="M65" t="str">
        <f>IF(COUNTIF('outliers per techniques &amp; human'!L$3:L$17,'outliers per techniques &amp; human'!W66),'outliers per techniques &amp; human'!W66,"")</f>
        <v/>
      </c>
      <c r="N65" t="str">
        <f>IF(COUNTIF('outliers per techniques &amp; human'!M$3:M$200,'outliers per techniques &amp; human'!W66),'outliers per techniques &amp; human'!W66,"")</f>
        <v/>
      </c>
      <c r="O65" t="str">
        <f>IF(COUNTIF('outliers per techniques &amp; human'!N$3:N$25,'outliers per techniques &amp; human'!W66),'outliers per techniques &amp; human'!W66,"")</f>
        <v/>
      </c>
      <c r="P65" t="str">
        <f>IF(COUNTIF('outliers per techniques &amp; human'!O$3:O$368,'outliers per techniques &amp; human'!W66),'outliers per techniques &amp; human'!W66,"")</f>
        <v>platon</v>
      </c>
    </row>
    <row r="66" spans="2:16" x14ac:dyDescent="0.25">
      <c r="B66" s="4" t="str">
        <f>IF(COUNTIF('outliers per techniques &amp; human'!A$3:A$28,'outliers per techniques &amp; human'!$W67),'outliers per techniques &amp; human'!$W67,"")</f>
        <v/>
      </c>
      <c r="C66" t="str">
        <f>IF(COUNTIF('outliers per techniques &amp; human'!B$3:B$28,'outliers per techniques &amp; human'!W67),'outliers per techniques &amp; human'!W67,"")</f>
        <v/>
      </c>
      <c r="D66" t="str">
        <f>IF(COUNTIF('outliers per techniques &amp; human'!C$3:C$38,'outliers per techniques &amp; human'!W67),'outliers per techniques &amp; human'!W67,"")</f>
        <v/>
      </c>
      <c r="E66" t="str">
        <f>IF(COUNTIF('outliers per techniques &amp; human'!D$3:D$38,'outliers per techniques &amp; human'!W67),'outliers per techniques &amp; human'!W67,"")</f>
        <v/>
      </c>
      <c r="F66" t="str">
        <f>IF(COUNTIF('outliers per techniques &amp; human'!E$3:E$24,'outliers per techniques &amp; human'!W67),'outliers per techniques &amp; human'!W67,"")</f>
        <v/>
      </c>
      <c r="G66" t="str">
        <f>IF(COUNTIF('outliers per techniques &amp; human'!F$3:F$24,'outliers per techniques &amp; human'!W67),'outliers per techniques &amp; human'!W67,"")</f>
        <v/>
      </c>
      <c r="H66" t="str">
        <f>IF(COUNTIF('outliers per techniques &amp; human'!G$3:G$42,'outliers per techniques &amp; human'!W67),'outliers per techniques &amp; human'!W67,"")</f>
        <v/>
      </c>
      <c r="I66" t="str">
        <f>IF(COUNTIF('outliers per techniques &amp; human'!H$3:H$42,'outliers per techniques &amp; human'!W67),'outliers per techniques &amp; human'!W67,"")</f>
        <v/>
      </c>
      <c r="J66" t="str">
        <f>IF(COUNTIF('outliers per techniques &amp; human'!I$3:I$21,'outliers per techniques &amp; human'!W67),'outliers per techniques &amp; human'!W67,"")</f>
        <v/>
      </c>
      <c r="K66" t="str">
        <f>IF(COUNTIF('outliers per techniques &amp; human'!J$3:J$47,'outliers per techniques &amp; human'!W67),'outliers per techniques &amp; human'!W67,"")</f>
        <v/>
      </c>
      <c r="L66" t="str">
        <f>IF(COUNTIF('outliers per techniques &amp; human'!K$3:K$78,'outliers per techniques &amp; human'!W67),'outliers per techniques &amp; human'!W67,"")</f>
        <v/>
      </c>
      <c r="M66" t="str">
        <f>IF(COUNTIF('outliers per techniques &amp; human'!L$3:L$17,'outliers per techniques &amp; human'!W67),'outliers per techniques &amp; human'!W67,"")</f>
        <v/>
      </c>
      <c r="N66" t="str">
        <f>IF(COUNTIF('outliers per techniques &amp; human'!M$3:M$200,'outliers per techniques &amp; human'!W67),'outliers per techniques &amp; human'!W67,"")</f>
        <v/>
      </c>
      <c r="O66" t="str">
        <f>IF(COUNTIF('outliers per techniques &amp; human'!N$3:N$25,'outliers per techniques &amp; human'!W67),'outliers per techniques &amp; human'!W67,"")</f>
        <v/>
      </c>
      <c r="P66" t="str">
        <f>IF(COUNTIF('outliers per techniques &amp; human'!O$3:O$368,'outliers per techniques &amp; human'!W67),'outliers per techniques &amp; human'!W67,"")</f>
        <v>keynesianismus</v>
      </c>
    </row>
    <row r="67" spans="2:16" x14ac:dyDescent="0.25">
      <c r="B67" s="4" t="str">
        <f>IF(COUNTIF('outliers per techniques &amp; human'!A$3:A$28,'outliers per techniques &amp; human'!$W68),'outliers per techniques &amp; human'!$W68,"")</f>
        <v/>
      </c>
      <c r="C67" t="str">
        <f>IF(COUNTIF('outliers per techniques &amp; human'!B$3:B$28,'outliers per techniques &amp; human'!W68),'outliers per techniques &amp; human'!W68,"")</f>
        <v/>
      </c>
      <c r="D67" t="str">
        <f>IF(COUNTIF('outliers per techniques &amp; human'!C$3:C$38,'outliers per techniques &amp; human'!W68),'outliers per techniques &amp; human'!W68,"")</f>
        <v/>
      </c>
      <c r="E67" t="str">
        <f>IF(COUNTIF('outliers per techniques &amp; human'!D$3:D$38,'outliers per techniques &amp; human'!W68),'outliers per techniques &amp; human'!W68,"")</f>
        <v/>
      </c>
      <c r="F67" t="str">
        <f>IF(COUNTIF('outliers per techniques &amp; human'!E$3:E$24,'outliers per techniques &amp; human'!W68),'outliers per techniques &amp; human'!W68,"")</f>
        <v/>
      </c>
      <c r="G67" t="str">
        <f>IF(COUNTIF('outliers per techniques &amp; human'!F$3:F$24,'outliers per techniques &amp; human'!W68),'outliers per techniques &amp; human'!W68,"")</f>
        <v/>
      </c>
      <c r="H67" t="str">
        <f>IF(COUNTIF('outliers per techniques &amp; human'!G$3:G$42,'outliers per techniques &amp; human'!W68),'outliers per techniques &amp; human'!W68,"")</f>
        <v/>
      </c>
      <c r="I67" t="str">
        <f>IF(COUNTIF('outliers per techniques &amp; human'!H$3:H$42,'outliers per techniques &amp; human'!W68),'outliers per techniques &amp; human'!W68,"")</f>
        <v/>
      </c>
      <c r="J67" t="str">
        <f>IF(COUNTIF('outliers per techniques &amp; human'!I$3:I$21,'outliers per techniques &amp; human'!W68),'outliers per techniques &amp; human'!W68,"")</f>
        <v/>
      </c>
      <c r="K67" t="str">
        <f>IF(COUNTIF('outliers per techniques &amp; human'!J$3:J$47,'outliers per techniques &amp; human'!W68),'outliers per techniques &amp; human'!W68,"")</f>
        <v/>
      </c>
      <c r="L67" t="str">
        <f>IF(COUNTIF('outliers per techniques &amp; human'!K$3:K$78,'outliers per techniques &amp; human'!W68),'outliers per techniques &amp; human'!W68,"")</f>
        <v/>
      </c>
      <c r="M67" t="str">
        <f>IF(COUNTIF('outliers per techniques &amp; human'!L$3:L$17,'outliers per techniques &amp; human'!W68),'outliers per techniques &amp; human'!W68,"")</f>
        <v/>
      </c>
      <c r="N67" t="str">
        <f>IF(COUNTIF('outliers per techniques &amp; human'!M$3:M$200,'outliers per techniques &amp; human'!W68),'outliers per techniques &amp; human'!W68,"")</f>
        <v/>
      </c>
      <c r="O67" t="str">
        <f>IF(COUNTIF('outliers per techniques &amp; human'!N$3:N$25,'outliers per techniques &amp; human'!W68),'outliers per techniques &amp; human'!W68,"")</f>
        <v/>
      </c>
      <c r="P67" t="str">
        <f>IF(COUNTIF('outliers per techniques &amp; human'!O$3:O$368,'outliers per techniques &amp; human'!W68),'outliers per techniques &amp; human'!W68,"")</f>
        <v>kredit</v>
      </c>
    </row>
    <row r="68" spans="2:16" x14ac:dyDescent="0.25">
      <c r="B68" s="4" t="str">
        <f>IF(COUNTIF('outliers per techniques &amp; human'!A$3:A$28,'outliers per techniques &amp; human'!$W69),'outliers per techniques &amp; human'!$W69,"")</f>
        <v/>
      </c>
      <c r="C68" t="str">
        <f>IF(COUNTIF('outliers per techniques &amp; human'!B$3:B$28,'outliers per techniques &amp; human'!W69),'outliers per techniques &amp; human'!W69,"")</f>
        <v/>
      </c>
      <c r="D68" t="str">
        <f>IF(COUNTIF('outliers per techniques &amp; human'!C$3:C$38,'outliers per techniques &amp; human'!W69),'outliers per techniques &amp; human'!W69,"")</f>
        <v/>
      </c>
      <c r="E68" t="str">
        <f>IF(COUNTIF('outliers per techniques &amp; human'!D$3:D$38,'outliers per techniques &amp; human'!W69),'outliers per techniques &amp; human'!W69,"")</f>
        <v/>
      </c>
      <c r="F68" t="str">
        <f>IF(COUNTIF('outliers per techniques &amp; human'!E$3:E$24,'outliers per techniques &amp; human'!W69),'outliers per techniques &amp; human'!W69,"")</f>
        <v/>
      </c>
      <c r="G68" t="str">
        <f>IF(COUNTIF('outliers per techniques &amp; human'!F$3:F$24,'outliers per techniques &amp; human'!W69),'outliers per techniques &amp; human'!W69,"")</f>
        <v/>
      </c>
      <c r="H68" t="str">
        <f>IF(COUNTIF('outliers per techniques &amp; human'!G$3:G$42,'outliers per techniques &amp; human'!W69),'outliers per techniques &amp; human'!W69,"")</f>
        <v/>
      </c>
      <c r="I68" t="str">
        <f>IF(COUNTIF('outliers per techniques &amp; human'!H$3:H$42,'outliers per techniques &amp; human'!W69),'outliers per techniques &amp; human'!W69,"")</f>
        <v/>
      </c>
      <c r="J68" t="str">
        <f>IF(COUNTIF('outliers per techniques &amp; human'!I$3:I$21,'outliers per techniques &amp; human'!W69),'outliers per techniques &amp; human'!W69,"")</f>
        <v/>
      </c>
      <c r="K68" t="str">
        <f>IF(COUNTIF('outliers per techniques &amp; human'!J$3:J$47,'outliers per techniques &amp; human'!W69),'outliers per techniques &amp; human'!W69,"")</f>
        <v/>
      </c>
      <c r="L68" t="str">
        <f>IF(COUNTIF('outliers per techniques &amp; human'!K$3:K$78,'outliers per techniques &amp; human'!W69),'outliers per techniques &amp; human'!W69,"")</f>
        <v/>
      </c>
      <c r="M68" t="str">
        <f>IF(COUNTIF('outliers per techniques &amp; human'!L$3:L$17,'outliers per techniques &amp; human'!W69),'outliers per techniques &amp; human'!W69,"")</f>
        <v/>
      </c>
      <c r="N68" t="str">
        <f>IF(COUNTIF('outliers per techniques &amp; human'!M$3:M$200,'outliers per techniques &amp; human'!W69),'outliers per techniques &amp; human'!W69,"")</f>
        <v>netbib</v>
      </c>
      <c r="O68" t="str">
        <f>IF(COUNTIF('outliers per techniques &amp; human'!N$3:N$25,'outliers per techniques &amp; human'!W69),'outliers per techniques &amp; human'!W69,"")</f>
        <v/>
      </c>
      <c r="P68" t="str">
        <f>IF(COUNTIF('outliers per techniques &amp; human'!O$3:O$368,'outliers per techniques &amp; human'!W69),'outliers per techniques &amp; human'!W69,"")</f>
        <v/>
      </c>
    </row>
    <row r="69" spans="2:16" x14ac:dyDescent="0.25">
      <c r="B69" s="4" t="str">
        <f>IF(COUNTIF('outliers per techniques &amp; human'!A$3:A$28,'outliers per techniques &amp; human'!$W70),'outliers per techniques &amp; human'!$W70,"")</f>
        <v/>
      </c>
      <c r="C69" t="str">
        <f>IF(COUNTIF('outliers per techniques &amp; human'!B$3:B$28,'outliers per techniques &amp; human'!W70),'outliers per techniques &amp; human'!W70,"")</f>
        <v/>
      </c>
      <c r="D69" t="str">
        <f>IF(COUNTIF('outliers per techniques &amp; human'!C$3:C$38,'outliers per techniques &amp; human'!W70),'outliers per techniques &amp; human'!W70,"")</f>
        <v/>
      </c>
      <c r="E69" t="str">
        <f>IF(COUNTIF('outliers per techniques &amp; human'!D$3:D$38,'outliers per techniques &amp; human'!W70),'outliers per techniques &amp; human'!W70,"")</f>
        <v/>
      </c>
      <c r="F69" t="str">
        <f>IF(COUNTIF('outliers per techniques &amp; human'!E$3:E$24,'outliers per techniques &amp; human'!W70),'outliers per techniques &amp; human'!W70,"")</f>
        <v/>
      </c>
      <c r="G69" t="str">
        <f>IF(COUNTIF('outliers per techniques &amp; human'!F$3:F$24,'outliers per techniques &amp; human'!W70),'outliers per techniques &amp; human'!W70,"")</f>
        <v/>
      </c>
      <c r="H69" t="str">
        <f>IF(COUNTIF('outliers per techniques &amp; human'!G$3:G$42,'outliers per techniques &amp; human'!W70),'outliers per techniques &amp; human'!W70,"")</f>
        <v/>
      </c>
      <c r="I69" t="str">
        <f>IF(COUNTIF('outliers per techniques &amp; human'!H$3:H$42,'outliers per techniques &amp; human'!W70),'outliers per techniques &amp; human'!W70,"")</f>
        <v/>
      </c>
      <c r="J69" t="str">
        <f>IF(COUNTIF('outliers per techniques &amp; human'!I$3:I$21,'outliers per techniques &amp; human'!W70),'outliers per techniques &amp; human'!W70,"")</f>
        <v/>
      </c>
      <c r="K69" t="str">
        <f>IF(COUNTIF('outliers per techniques &amp; human'!J$3:J$47,'outliers per techniques &amp; human'!W70),'outliers per techniques &amp; human'!W70,"")</f>
        <v/>
      </c>
      <c r="L69" t="str">
        <f>IF(COUNTIF('outliers per techniques &amp; human'!K$3:K$78,'outliers per techniques &amp; human'!W70),'outliers per techniques &amp; human'!W70,"")</f>
        <v/>
      </c>
      <c r="M69" t="str">
        <f>IF(COUNTIF('outliers per techniques &amp; human'!L$3:L$17,'outliers per techniques &amp; human'!W70),'outliers per techniques &amp; human'!W70,"")</f>
        <v>stereotyp</v>
      </c>
      <c r="N69" t="str">
        <f>IF(COUNTIF('outliers per techniques &amp; human'!M$3:M$200,'outliers per techniques &amp; human'!W70),'outliers per techniques &amp; human'!W70,"")</f>
        <v>stereotyp</v>
      </c>
      <c r="O69" t="str">
        <f>IF(COUNTIF('outliers per techniques &amp; human'!N$3:N$25,'outliers per techniques &amp; human'!W70),'outliers per techniques &amp; human'!W70,"")</f>
        <v/>
      </c>
      <c r="P69" t="str">
        <f>IF(COUNTIF('outliers per techniques &amp; human'!O$3:O$368,'outliers per techniques &amp; human'!W70),'outliers per techniques &amp; human'!W70,"")</f>
        <v>stereotyp</v>
      </c>
    </row>
    <row r="70" spans="2:16" x14ac:dyDescent="0.25">
      <c r="B70" s="4" t="str">
        <f>IF(COUNTIF('outliers per techniques &amp; human'!A$3:A$28,'outliers per techniques &amp; human'!$W71),'outliers per techniques &amp; human'!$W71,"")</f>
        <v/>
      </c>
      <c r="C70" t="str">
        <f>IF(COUNTIF('outliers per techniques &amp; human'!B$3:B$28,'outliers per techniques &amp; human'!W71),'outliers per techniques &amp; human'!W71,"")</f>
        <v/>
      </c>
      <c r="D70" t="str">
        <f>IF(COUNTIF('outliers per techniques &amp; human'!C$3:C$38,'outliers per techniques &amp; human'!W71),'outliers per techniques &amp; human'!W71,"")</f>
        <v/>
      </c>
      <c r="E70" t="str">
        <f>IF(COUNTIF('outliers per techniques &amp; human'!D$3:D$38,'outliers per techniques &amp; human'!W71),'outliers per techniques &amp; human'!W71,"")</f>
        <v/>
      </c>
      <c r="F70" t="str">
        <f>IF(COUNTIF('outliers per techniques &amp; human'!E$3:E$24,'outliers per techniques &amp; human'!W71),'outliers per techniques &amp; human'!W71,"")</f>
        <v/>
      </c>
      <c r="G70" t="str">
        <f>IF(COUNTIF('outliers per techniques &amp; human'!F$3:F$24,'outliers per techniques &amp; human'!W71),'outliers per techniques &amp; human'!W71,"")</f>
        <v/>
      </c>
      <c r="H70" t="str">
        <f>IF(COUNTIF('outliers per techniques &amp; human'!G$3:G$42,'outliers per techniques &amp; human'!W71),'outliers per techniques &amp; human'!W71,"")</f>
        <v/>
      </c>
      <c r="I70" t="str">
        <f>IF(COUNTIF('outliers per techniques &amp; human'!H$3:H$42,'outliers per techniques &amp; human'!W71),'outliers per techniques &amp; human'!W71,"")</f>
        <v/>
      </c>
      <c r="J70" t="str">
        <f>IF(COUNTIF('outliers per techniques &amp; human'!I$3:I$21,'outliers per techniques &amp; human'!W71),'outliers per techniques &amp; human'!W71,"")</f>
        <v/>
      </c>
      <c r="K70" t="str">
        <f>IF(COUNTIF('outliers per techniques &amp; human'!J$3:J$47,'outliers per techniques &amp; human'!W71),'outliers per techniques &amp; human'!W71,"")</f>
        <v/>
      </c>
      <c r="L70" t="str">
        <f>IF(COUNTIF('outliers per techniques &amp; human'!K$3:K$78,'outliers per techniques &amp; human'!W71),'outliers per techniques &amp; human'!W71,"")</f>
        <v/>
      </c>
      <c r="M70" t="str">
        <f>IF(COUNTIF('outliers per techniques &amp; human'!L$3:L$17,'outliers per techniques &amp; human'!W71),'outliers per techniques &amp; human'!W71,"")</f>
        <v/>
      </c>
      <c r="N70" t="str">
        <f>IF(COUNTIF('outliers per techniques &amp; human'!M$3:M$200,'outliers per techniques &amp; human'!W71),'outliers per techniques &amp; human'!W71,"")</f>
        <v>semiotik</v>
      </c>
      <c r="O70" t="str">
        <f>IF(COUNTIF('outliers per techniques &amp; human'!N$3:N$25,'outliers per techniques &amp; human'!W71),'outliers per techniques &amp; human'!W71,"")</f>
        <v/>
      </c>
      <c r="P70" t="str">
        <f>IF(COUNTIF('outliers per techniques &amp; human'!O$3:O$368,'outliers per techniques &amp; human'!W71),'outliers per techniques &amp; human'!W71,"")</f>
        <v/>
      </c>
    </row>
    <row r="71" spans="2:16" x14ac:dyDescent="0.25">
      <c r="B71" s="4" t="str">
        <f>IF(COUNTIF('outliers per techniques &amp; human'!A$3:A$28,'outliers per techniques &amp; human'!$W72),'outliers per techniques &amp; human'!$W72,"")</f>
        <v/>
      </c>
      <c r="C71" t="str">
        <f>IF(COUNTIF('outliers per techniques &amp; human'!B$3:B$28,'outliers per techniques &amp; human'!W72),'outliers per techniques &amp; human'!W72,"")</f>
        <v/>
      </c>
      <c r="D71" t="str">
        <f>IF(COUNTIF('outliers per techniques &amp; human'!C$3:C$38,'outliers per techniques &amp; human'!W72),'outliers per techniques &amp; human'!W72,"")</f>
        <v/>
      </c>
      <c r="E71" t="str">
        <f>IF(COUNTIF('outliers per techniques &amp; human'!D$3:D$38,'outliers per techniques &amp; human'!W72),'outliers per techniques &amp; human'!W72,"")</f>
        <v/>
      </c>
      <c r="F71" t="str">
        <f>IF(COUNTIF('outliers per techniques &amp; human'!E$3:E$24,'outliers per techniques &amp; human'!W72),'outliers per techniques &amp; human'!W72,"")</f>
        <v/>
      </c>
      <c r="G71" t="str">
        <f>IF(COUNTIF('outliers per techniques &amp; human'!F$3:F$24,'outliers per techniques &amp; human'!W72),'outliers per techniques &amp; human'!W72,"")</f>
        <v/>
      </c>
      <c r="H71" t="str">
        <f>IF(COUNTIF('outliers per techniques &amp; human'!G$3:G$42,'outliers per techniques &amp; human'!W72),'outliers per techniques &amp; human'!W72,"")</f>
        <v/>
      </c>
      <c r="I71" t="str">
        <f>IF(COUNTIF('outliers per techniques &amp; human'!H$3:H$42,'outliers per techniques &amp; human'!W72),'outliers per techniques &amp; human'!W72,"")</f>
        <v/>
      </c>
      <c r="J71" t="str">
        <f>IF(COUNTIF('outliers per techniques &amp; human'!I$3:I$21,'outliers per techniques &amp; human'!W72),'outliers per techniques &amp; human'!W72,"")</f>
        <v/>
      </c>
      <c r="K71" t="str">
        <f>IF(COUNTIF('outliers per techniques &amp; human'!J$3:J$47,'outliers per techniques &amp; human'!W72),'outliers per techniques &amp; human'!W72,"")</f>
        <v>cites.gradu</v>
      </c>
      <c r="L71" t="str">
        <f>IF(COUNTIF('outliers per techniques &amp; human'!K$3:K$78,'outliers per techniques &amp; human'!W72),'outliers per techniques &amp; human'!W72,"")</f>
        <v/>
      </c>
      <c r="M71" t="str">
        <f>IF(COUNTIF('outliers per techniques &amp; human'!L$3:L$17,'outliers per techniques &amp; human'!W72),'outliers per techniques &amp; human'!W72,"")</f>
        <v/>
      </c>
      <c r="N71" t="str">
        <f>IF(COUNTIF('outliers per techniques &amp; human'!M$3:M$200,'outliers per techniques &amp; human'!W72),'outliers per techniques &amp; human'!W72,"")</f>
        <v/>
      </c>
      <c r="O71" t="str">
        <f>IF(COUNTIF('outliers per techniques &amp; human'!N$3:N$25,'outliers per techniques &amp; human'!W72),'outliers per techniques &amp; human'!W72,"")</f>
        <v/>
      </c>
      <c r="P71" t="str">
        <f>IF(COUNTIF('outliers per techniques &amp; human'!O$3:O$368,'outliers per techniques &amp; human'!W72),'outliers per techniques &amp; human'!W72,"")</f>
        <v/>
      </c>
    </row>
    <row r="72" spans="2:16" x14ac:dyDescent="0.25">
      <c r="B72" s="4" t="str">
        <f>IF(COUNTIF('outliers per techniques &amp; human'!A$3:A$28,'outliers per techniques &amp; human'!$W73),'outliers per techniques &amp; human'!$W73,"")</f>
        <v/>
      </c>
      <c r="C72" t="str">
        <f>IF(COUNTIF('outliers per techniques &amp; human'!B$3:B$28,'outliers per techniques &amp; human'!W73),'outliers per techniques &amp; human'!W73,"")</f>
        <v/>
      </c>
      <c r="D72" t="str">
        <f>IF(COUNTIF('outliers per techniques &amp; human'!C$3:C$38,'outliers per techniques &amp; human'!W73),'outliers per techniques &amp; human'!W73,"")</f>
        <v/>
      </c>
      <c r="E72" t="str">
        <f>IF(COUNTIF('outliers per techniques &amp; human'!D$3:D$38,'outliers per techniques &amp; human'!W73),'outliers per techniques &amp; human'!W73,"")</f>
        <v/>
      </c>
      <c r="F72" t="str">
        <f>IF(COUNTIF('outliers per techniques &amp; human'!E$3:E$24,'outliers per techniques &amp; human'!W73),'outliers per techniques &amp; human'!W73,"")</f>
        <v/>
      </c>
      <c r="G72" t="str">
        <f>IF(COUNTIF('outliers per techniques &amp; human'!F$3:F$24,'outliers per techniques &amp; human'!W73),'outliers per techniques &amp; human'!W73,"")</f>
        <v/>
      </c>
      <c r="H72" t="str">
        <f>IF(COUNTIF('outliers per techniques &amp; human'!G$3:G$42,'outliers per techniques &amp; human'!W73),'outliers per techniques &amp; human'!W73,"")</f>
        <v/>
      </c>
      <c r="I72" t="str">
        <f>IF(COUNTIF('outliers per techniques &amp; human'!H$3:H$42,'outliers per techniques &amp; human'!W73),'outliers per techniques &amp; human'!W73,"")</f>
        <v/>
      </c>
      <c r="J72" t="str">
        <f>IF(COUNTIF('outliers per techniques &amp; human'!I$3:I$21,'outliers per techniques &amp; human'!W73),'outliers per techniques &amp; human'!W73,"")</f>
        <v/>
      </c>
      <c r="K72" t="str">
        <f>IF(COUNTIF('outliers per techniques &amp; human'!J$3:J$47,'outliers per techniques &amp; human'!W73),'outliers per techniques &amp; human'!W73,"")</f>
        <v/>
      </c>
      <c r="L72" t="str">
        <f>IF(COUNTIF('outliers per techniques &amp; human'!K$3:K$78,'outliers per techniques &amp; human'!W73),'outliers per techniques &amp; human'!W73,"")</f>
        <v/>
      </c>
      <c r="M72" t="str">
        <f>IF(COUNTIF('outliers per techniques &amp; human'!L$3:L$17,'outliers per techniques &amp; human'!W73),'outliers per techniques &amp; human'!W73,"")</f>
        <v/>
      </c>
      <c r="N72" t="str">
        <f>IF(COUNTIF('outliers per techniques &amp; human'!M$3:M$200,'outliers per techniques &amp; human'!W73),'outliers per techniques &amp; human'!W73,"")</f>
        <v/>
      </c>
      <c r="O72" t="str">
        <f>IF(COUNTIF('outliers per techniques &amp; human'!N$3:N$25,'outliers per techniques &amp; human'!W73),'outliers per techniques &amp; human'!W73,"")</f>
        <v/>
      </c>
      <c r="P72" t="str">
        <f>IF(COUNTIF('outliers per techniques &amp; human'!O$3:O$368,'outliers per techniques &amp; human'!W73),'outliers per techniques &amp; human'!W73,"")</f>
        <v>hardt</v>
      </c>
    </row>
    <row r="73" spans="2:16" x14ac:dyDescent="0.25">
      <c r="B73" s="4" t="str">
        <f>IF(COUNTIF('outliers per techniques &amp; human'!A$3:A$28,'outliers per techniques &amp; human'!$W74),'outliers per techniques &amp; human'!$W74,"")</f>
        <v/>
      </c>
      <c r="C73" t="str">
        <f>IF(COUNTIF('outliers per techniques &amp; human'!B$3:B$28,'outliers per techniques &amp; human'!W74),'outliers per techniques &amp; human'!W74,"")</f>
        <v/>
      </c>
      <c r="D73" t="str">
        <f>IF(COUNTIF('outliers per techniques &amp; human'!C$3:C$38,'outliers per techniques &amp; human'!W74),'outliers per techniques &amp; human'!W74,"")</f>
        <v/>
      </c>
      <c r="E73" t="str">
        <f>IF(COUNTIF('outliers per techniques &amp; human'!D$3:D$38,'outliers per techniques &amp; human'!W74),'outliers per techniques &amp; human'!W74,"")</f>
        <v/>
      </c>
      <c r="F73" t="str">
        <f>IF(COUNTIF('outliers per techniques &amp; human'!E$3:E$24,'outliers per techniques &amp; human'!W74),'outliers per techniques &amp; human'!W74,"")</f>
        <v/>
      </c>
      <c r="G73" t="str">
        <f>IF(COUNTIF('outliers per techniques &amp; human'!F$3:F$24,'outliers per techniques &amp; human'!W74),'outliers per techniques &amp; human'!W74,"")</f>
        <v/>
      </c>
      <c r="H73" t="str">
        <f>IF(COUNTIF('outliers per techniques &amp; human'!G$3:G$42,'outliers per techniques &amp; human'!W74),'outliers per techniques &amp; human'!W74,"")</f>
        <v/>
      </c>
      <c r="I73" t="str">
        <f>IF(COUNTIF('outliers per techniques &amp; human'!H$3:H$42,'outliers per techniques &amp; human'!W74),'outliers per techniques &amp; human'!W74,"")</f>
        <v/>
      </c>
      <c r="J73" t="str">
        <f>IF(COUNTIF('outliers per techniques &amp; human'!I$3:I$21,'outliers per techniques &amp; human'!W74),'outliers per techniques &amp; human'!W74,"")</f>
        <v/>
      </c>
      <c r="K73" t="str">
        <f>IF(COUNTIF('outliers per techniques &amp; human'!J$3:J$47,'outliers per techniques &amp; human'!W74),'outliers per techniques &amp; human'!W74,"")</f>
        <v/>
      </c>
      <c r="L73" t="str">
        <f>IF(COUNTIF('outliers per techniques &amp; human'!K$3:K$78,'outliers per techniques &amp; human'!W74),'outliers per techniques &amp; human'!W74,"")</f>
        <v>arvuti</v>
      </c>
      <c r="M73" t="str">
        <f>IF(COUNTIF('outliers per techniques &amp; human'!L$3:L$17,'outliers per techniques &amp; human'!W74),'outliers per techniques &amp; human'!W74,"")</f>
        <v/>
      </c>
      <c r="N73" t="str">
        <f>IF(COUNTIF('outliers per techniques &amp; human'!M$3:M$200,'outliers per techniques &amp; human'!W74),'outliers per techniques &amp; human'!W74,"")</f>
        <v/>
      </c>
      <c r="O73" t="str">
        <f>IF(COUNTIF('outliers per techniques &amp; human'!N$3:N$25,'outliers per techniques &amp; human'!W74),'outliers per techniques &amp; human'!W74,"")</f>
        <v/>
      </c>
      <c r="P73" t="str">
        <f>IF(COUNTIF('outliers per techniques &amp; human'!O$3:O$368,'outliers per techniques &amp; human'!W74),'outliers per techniques &amp; human'!W74,"")</f>
        <v/>
      </c>
    </row>
    <row r="74" spans="2:16" x14ac:dyDescent="0.25">
      <c r="B74" s="4" t="str">
        <f>IF(COUNTIF('outliers per techniques &amp; human'!A$3:A$28,'outliers per techniques &amp; human'!$W75),'outliers per techniques &amp; human'!$W75,"")</f>
        <v/>
      </c>
      <c r="C74" t="str">
        <f>IF(COUNTIF('outliers per techniques &amp; human'!B$3:B$28,'outliers per techniques &amp; human'!W75),'outliers per techniques &amp; human'!W75,"")</f>
        <v/>
      </c>
      <c r="D74" t="str">
        <f>IF(COUNTIF('outliers per techniques &amp; human'!C$3:C$38,'outliers per techniques &amp; human'!W75),'outliers per techniques &amp; human'!W75,"")</f>
        <v/>
      </c>
      <c r="E74" t="str">
        <f>IF(COUNTIF('outliers per techniques &amp; human'!D$3:D$38,'outliers per techniques &amp; human'!W75),'outliers per techniques &amp; human'!W75,"")</f>
        <v/>
      </c>
      <c r="F74" t="str">
        <f>IF(COUNTIF('outliers per techniques &amp; human'!E$3:E$24,'outliers per techniques &amp; human'!W75),'outliers per techniques &amp; human'!W75,"")</f>
        <v/>
      </c>
      <c r="G74" t="str">
        <f>IF(COUNTIF('outliers per techniques &amp; human'!F$3:F$24,'outliers per techniques &amp; human'!W75),'outliers per techniques &amp; human'!W75,"")</f>
        <v/>
      </c>
      <c r="H74" t="str">
        <f>IF(COUNTIF('outliers per techniques &amp; human'!G$3:G$42,'outliers per techniques &amp; human'!W75),'outliers per techniques &amp; human'!W75,"")</f>
        <v/>
      </c>
      <c r="I74" t="str">
        <f>IF(COUNTIF('outliers per techniques &amp; human'!H$3:H$42,'outliers per techniques &amp; human'!W75),'outliers per techniques &amp; human'!W75,"")</f>
        <v/>
      </c>
      <c r="J74" t="str">
        <f>IF(COUNTIF('outliers per techniques &amp; human'!I$3:I$21,'outliers per techniques &amp; human'!W75),'outliers per techniques &amp; human'!W75,"")</f>
        <v/>
      </c>
      <c r="K74" t="str">
        <f>IF(COUNTIF('outliers per techniques &amp; human'!J$3:J$47,'outliers per techniques &amp; human'!W75),'outliers per techniques &amp; human'!W75,"")</f>
        <v/>
      </c>
      <c r="L74" t="str">
        <f>IF(COUNTIF('outliers per techniques &amp; human'!K$3:K$78,'outliers per techniques &amp; human'!W75),'outliers per techniques &amp; human'!W75,"")</f>
        <v/>
      </c>
      <c r="M74" t="str">
        <f>IF(COUNTIF('outliers per techniques &amp; human'!L$3:L$17,'outliers per techniques &amp; human'!W75),'outliers per techniques &amp; human'!W75,"")</f>
        <v/>
      </c>
      <c r="N74" t="str">
        <f>IF(COUNTIF('outliers per techniques &amp; human'!M$3:M$200,'outliers per techniques &amp; human'!W75),'outliers per techniques &amp; human'!W75,"")</f>
        <v>luhn</v>
      </c>
      <c r="O74" t="str">
        <f>IF(COUNTIF('outliers per techniques &amp; human'!N$3:N$25,'outliers per techniques &amp; human'!W75),'outliers per techniques &amp; human'!W75,"")</f>
        <v/>
      </c>
      <c r="P74" t="str">
        <f>IF(COUNTIF('outliers per techniques &amp; human'!O$3:O$368,'outliers per techniques &amp; human'!W75),'outliers per techniques &amp; human'!W75,"")</f>
        <v/>
      </c>
    </row>
    <row r="75" spans="2:16" x14ac:dyDescent="0.25">
      <c r="B75" s="4" t="str">
        <f>IF(COUNTIF('outliers per techniques &amp; human'!A$3:A$28,'outliers per techniques &amp; human'!$W76),'outliers per techniques &amp; human'!$W76,"")</f>
        <v/>
      </c>
      <c r="C75" t="str">
        <f>IF(COUNTIF('outliers per techniques &amp; human'!B$3:B$28,'outliers per techniques &amp; human'!W76),'outliers per techniques &amp; human'!W76,"")</f>
        <v/>
      </c>
      <c r="D75" t="str">
        <f>IF(COUNTIF('outliers per techniques &amp; human'!C$3:C$38,'outliers per techniques &amp; human'!W76),'outliers per techniques &amp; human'!W76,"")</f>
        <v/>
      </c>
      <c r="E75" t="str">
        <f>IF(COUNTIF('outliers per techniques &amp; human'!D$3:D$38,'outliers per techniques &amp; human'!W76),'outliers per techniques &amp; human'!W76,"")</f>
        <v/>
      </c>
      <c r="F75" t="str">
        <f>IF(COUNTIF('outliers per techniques &amp; human'!E$3:E$24,'outliers per techniques &amp; human'!W76),'outliers per techniques &amp; human'!W76,"")</f>
        <v/>
      </c>
      <c r="G75" t="str">
        <f>IF(COUNTIF('outliers per techniques &amp; human'!F$3:F$24,'outliers per techniques &amp; human'!W76),'outliers per techniques &amp; human'!W76,"")</f>
        <v/>
      </c>
      <c r="H75" t="str">
        <f>IF(COUNTIF('outliers per techniques &amp; human'!G$3:G$42,'outliers per techniques &amp; human'!W76),'outliers per techniques &amp; human'!W76,"")</f>
        <v/>
      </c>
      <c r="I75" t="str">
        <f>IF(COUNTIF('outliers per techniques &amp; human'!H$3:H$42,'outliers per techniques &amp; human'!W76),'outliers per techniques &amp; human'!W76,"")</f>
        <v>schlagwortkatalog</v>
      </c>
      <c r="J75" t="str">
        <f>IF(COUNTIF('outliers per techniques &amp; human'!I$3:I$21,'outliers per techniques &amp; human'!W76),'outliers per techniques &amp; human'!W76,"")</f>
        <v/>
      </c>
      <c r="K75" t="str">
        <f>IF(COUNTIF('outliers per techniques &amp; human'!J$3:J$47,'outliers per techniques &amp; human'!W76),'outliers per techniques &amp; human'!W76,"")</f>
        <v/>
      </c>
      <c r="L75" t="str">
        <f>IF(COUNTIF('outliers per techniques &amp; human'!K$3:K$78,'outliers per techniques &amp; human'!W76),'outliers per techniques &amp; human'!W76,"")</f>
        <v/>
      </c>
      <c r="M75" t="str">
        <f>IF(COUNTIF('outliers per techniques &amp; human'!L$3:L$17,'outliers per techniques &amp; human'!W76),'outliers per techniques &amp; human'!W76,"")</f>
        <v/>
      </c>
      <c r="N75" t="str">
        <f>IF(COUNTIF('outliers per techniques &amp; human'!M$3:M$200,'outliers per techniques &amp; human'!W76),'outliers per techniques &amp; human'!W76,"")</f>
        <v/>
      </c>
      <c r="O75" t="str">
        <f>IF(COUNTIF('outliers per techniques &amp; human'!N$3:N$25,'outliers per techniques &amp; human'!W76),'outliers per techniques &amp; human'!W76,"")</f>
        <v/>
      </c>
      <c r="P75" t="str">
        <f>IF(COUNTIF('outliers per techniques &amp; human'!O$3:O$368,'outliers per techniques &amp; human'!W76),'outliers per techniques &amp; human'!W76,"")</f>
        <v/>
      </c>
    </row>
    <row r="76" spans="2:16" x14ac:dyDescent="0.25">
      <c r="B76" s="4" t="str">
        <f>IF(COUNTIF('outliers per techniques &amp; human'!A$3:A$28,'outliers per techniques &amp; human'!$W77),'outliers per techniques &amp; human'!$W77,"")</f>
        <v/>
      </c>
      <c r="C76" t="str">
        <f>IF(COUNTIF('outliers per techniques &amp; human'!B$3:B$28,'outliers per techniques &amp; human'!W77),'outliers per techniques &amp; human'!W77,"")</f>
        <v/>
      </c>
      <c r="D76" t="str">
        <f>IF(COUNTIF('outliers per techniques &amp; human'!C$3:C$38,'outliers per techniques &amp; human'!W77),'outliers per techniques &amp; human'!W77,"")</f>
        <v/>
      </c>
      <c r="E76" t="str">
        <f>IF(COUNTIF('outliers per techniques &amp; human'!D$3:D$38,'outliers per techniques &amp; human'!W77),'outliers per techniques &amp; human'!W77,"")</f>
        <v/>
      </c>
      <c r="F76" t="str">
        <f>IF(COUNTIF('outliers per techniques &amp; human'!E$3:E$24,'outliers per techniques &amp; human'!W77),'outliers per techniques &amp; human'!W77,"")</f>
        <v/>
      </c>
      <c r="G76" t="str">
        <f>IF(COUNTIF('outliers per techniques &amp; human'!F$3:F$24,'outliers per techniques &amp; human'!W77),'outliers per techniques &amp; human'!W77,"")</f>
        <v/>
      </c>
      <c r="H76" t="str">
        <f>IF(COUNTIF('outliers per techniques &amp; human'!G$3:G$42,'outliers per techniques &amp; human'!W77),'outliers per techniques &amp; human'!W77,"")</f>
        <v/>
      </c>
      <c r="I76" t="str">
        <f>IF(COUNTIF('outliers per techniques &amp; human'!H$3:H$42,'outliers per techniques &amp; human'!W77),'outliers per techniques &amp; human'!W77,"")</f>
        <v/>
      </c>
      <c r="J76" t="str">
        <f>IF(COUNTIF('outliers per techniques &amp; human'!I$3:I$21,'outliers per techniques &amp; human'!W77),'outliers per techniques &amp; human'!W77,"")</f>
        <v/>
      </c>
      <c r="K76" t="str">
        <f>IF(COUNTIF('outliers per techniques &amp; human'!J$3:J$47,'outliers per techniques &amp; human'!W77),'outliers per techniques &amp; human'!W77,"")</f>
        <v/>
      </c>
      <c r="L76" t="str">
        <f>IF(COUNTIF('outliers per techniques &amp; human'!K$3:K$78,'outliers per techniques &amp; human'!W77),'outliers per techniques &amp; human'!W77,"")</f>
        <v/>
      </c>
      <c r="M76" t="str">
        <f>IF(COUNTIF('outliers per techniques &amp; human'!L$3:L$17,'outliers per techniques &amp; human'!W77),'outliers per techniques &amp; human'!W77,"")</f>
        <v/>
      </c>
      <c r="N76" t="str">
        <f>IF(COUNTIF('outliers per techniques &amp; human'!M$3:M$200,'outliers per techniques &amp; human'!W77),'outliers per techniques &amp; human'!W77,"")</f>
        <v>popularisierung</v>
      </c>
      <c r="O76" t="str">
        <f>IF(COUNTIF('outliers per techniques &amp; human'!N$3:N$25,'outliers per techniques &amp; human'!W77),'outliers per techniques &amp; human'!W77,"")</f>
        <v/>
      </c>
      <c r="P76" t="str">
        <f>IF(COUNTIF('outliers per techniques &amp; human'!O$3:O$368,'outliers per techniques &amp; human'!W77),'outliers per techniques &amp; human'!W77,"")</f>
        <v/>
      </c>
    </row>
    <row r="77" spans="2:16" x14ac:dyDescent="0.25">
      <c r="B77" s="4" t="str">
        <f>IF(COUNTIF('outliers per techniques &amp; human'!A$3:A$28,'outliers per techniques &amp; human'!$W78),'outliers per techniques &amp; human'!$W78,"")</f>
        <v/>
      </c>
      <c r="C77" t="str">
        <f>IF(COUNTIF('outliers per techniques &amp; human'!B$3:B$28,'outliers per techniques &amp; human'!W78),'outliers per techniques &amp; human'!W78,"")</f>
        <v/>
      </c>
      <c r="D77" t="str">
        <f>IF(COUNTIF('outliers per techniques &amp; human'!C$3:C$38,'outliers per techniques &amp; human'!W78),'outliers per techniques &amp; human'!W78,"")</f>
        <v/>
      </c>
      <c r="E77" t="str">
        <f>IF(COUNTIF('outliers per techniques &amp; human'!D$3:D$38,'outliers per techniques &amp; human'!W78),'outliers per techniques &amp; human'!W78,"")</f>
        <v/>
      </c>
      <c r="F77" t="str">
        <f>IF(COUNTIF('outliers per techniques &amp; human'!E$3:E$24,'outliers per techniques &amp; human'!W78),'outliers per techniques &amp; human'!W78,"")</f>
        <v/>
      </c>
      <c r="G77" t="str">
        <f>IF(COUNTIF('outliers per techniques &amp; human'!F$3:F$24,'outliers per techniques &amp; human'!W78),'outliers per techniques &amp; human'!W78,"")</f>
        <v/>
      </c>
      <c r="H77" t="str">
        <f>IF(COUNTIF('outliers per techniques &amp; human'!G$3:G$42,'outliers per techniques &amp; human'!W78),'outliers per techniques &amp; human'!W78,"")</f>
        <v/>
      </c>
      <c r="I77" t="str">
        <f>IF(COUNTIF('outliers per techniques &amp; human'!H$3:H$42,'outliers per techniques &amp; human'!W78),'outliers per techniques &amp; human'!W78,"")</f>
        <v/>
      </c>
      <c r="J77" t="str">
        <f>IF(COUNTIF('outliers per techniques &amp; human'!I$3:I$21,'outliers per techniques &amp; human'!W78),'outliers per techniques &amp; human'!W78,"")</f>
        <v/>
      </c>
      <c r="K77" t="str">
        <f>IF(COUNTIF('outliers per techniques &amp; human'!J$3:J$47,'outliers per techniques &amp; human'!W78),'outliers per techniques &amp; human'!W78,"")</f>
        <v/>
      </c>
      <c r="L77" t="str">
        <f>IF(COUNTIF('outliers per techniques &amp; human'!K$3:K$78,'outliers per techniques &amp; human'!W78),'outliers per techniques &amp; human'!W78,"")</f>
        <v/>
      </c>
      <c r="M77" t="str">
        <f>IF(COUNTIF('outliers per techniques &amp; human'!L$3:L$17,'outliers per techniques &amp; human'!W78),'outliers per techniques &amp; human'!W78,"")</f>
        <v/>
      </c>
      <c r="N77" t="str">
        <f>IF(COUNTIF('outliers per techniques &amp; human'!M$3:M$200,'outliers per techniques &amp; human'!W78),'outliers per techniques &amp; human'!W78,"")</f>
        <v/>
      </c>
      <c r="O77" t="str">
        <f>IF(COUNTIF('outliers per techniques &amp; human'!N$3:N$25,'outliers per techniques &amp; human'!W78),'outliers per techniques &amp; human'!W78,"")</f>
        <v>should</v>
      </c>
      <c r="P77" t="str">
        <f>IF(COUNTIF('outliers per techniques &amp; human'!O$3:O$368,'outliers per techniques &amp; human'!W78),'outliers per techniques &amp; human'!W78,"")</f>
        <v/>
      </c>
    </row>
    <row r="78" spans="2:16" x14ac:dyDescent="0.25">
      <c r="B78" s="4" t="str">
        <f>IF(COUNTIF('outliers per techniques &amp; human'!A$3:A$28,'outliers per techniques &amp; human'!$W79),'outliers per techniques &amp; human'!$W79,"")</f>
        <v/>
      </c>
      <c r="C78" t="str">
        <f>IF(COUNTIF('outliers per techniques &amp; human'!B$3:B$28,'outliers per techniques &amp; human'!W79),'outliers per techniques &amp; human'!W79,"")</f>
        <v/>
      </c>
      <c r="D78" t="str">
        <f>IF(COUNTIF('outliers per techniques &amp; human'!C$3:C$38,'outliers per techniques &amp; human'!W79),'outliers per techniques &amp; human'!W79,"")</f>
        <v/>
      </c>
      <c r="E78" t="str">
        <f>IF(COUNTIF('outliers per techniques &amp; human'!D$3:D$38,'outliers per techniques &amp; human'!W79),'outliers per techniques &amp; human'!W79,"")</f>
        <v/>
      </c>
      <c r="F78" t="str">
        <f>IF(COUNTIF('outliers per techniques &amp; human'!E$3:E$24,'outliers per techniques &amp; human'!W79),'outliers per techniques &amp; human'!W79,"")</f>
        <v/>
      </c>
      <c r="G78" t="str">
        <f>IF(COUNTIF('outliers per techniques &amp; human'!F$3:F$24,'outliers per techniques &amp; human'!W79),'outliers per techniques &amp; human'!W79,"")</f>
        <v/>
      </c>
      <c r="H78" t="str">
        <f>IF(COUNTIF('outliers per techniques &amp; human'!G$3:G$42,'outliers per techniques &amp; human'!W79),'outliers per techniques &amp; human'!W79,"")</f>
        <v/>
      </c>
      <c r="I78" t="str">
        <f>IF(COUNTIF('outliers per techniques &amp; human'!H$3:H$42,'outliers per techniques &amp; human'!W79),'outliers per techniques &amp; human'!W79,"")</f>
        <v/>
      </c>
      <c r="J78" t="str">
        <f>IF(COUNTIF('outliers per techniques &amp; human'!I$3:I$21,'outliers per techniques &amp; human'!W79),'outliers per techniques &amp; human'!W79,"")</f>
        <v/>
      </c>
      <c r="K78" t="str">
        <f>IF(COUNTIF('outliers per techniques &amp; human'!J$3:J$47,'outliers per techniques &amp; human'!W79),'outliers per techniques &amp; human'!W79,"")</f>
        <v/>
      </c>
      <c r="L78" t="str">
        <f>IF(COUNTIF('outliers per techniques &amp; human'!K$3:K$78,'outliers per techniques &amp; human'!W79),'outliers per techniques &amp; human'!W79,"")</f>
        <v/>
      </c>
      <c r="M78" t="str">
        <f>IF(COUNTIF('outliers per techniques &amp; human'!L$3:L$17,'outliers per techniques &amp; human'!W79),'outliers per techniques &amp; human'!W79,"")</f>
        <v/>
      </c>
      <c r="N78" t="str">
        <f>IF(COUNTIF('outliers per techniques &amp; human'!M$3:M$200,'outliers per techniques &amp; human'!W79),'outliers per techniques &amp; human'!W79,"")</f>
        <v/>
      </c>
      <c r="O78" t="str">
        <f>IF(COUNTIF('outliers per techniques &amp; human'!N$3:N$25,'outliers per techniques &amp; human'!W79),'outliers per techniques &amp; human'!W79,"")</f>
        <v/>
      </c>
      <c r="P78" t="str">
        <f>IF(COUNTIF('outliers per techniques &amp; human'!O$3:O$368,'outliers per techniques &amp; human'!W79),'outliers per techniques &amp; human'!W79,"")</f>
        <v>integrationskonzept</v>
      </c>
    </row>
    <row r="79" spans="2:16" x14ac:dyDescent="0.25">
      <c r="B79" s="4" t="str">
        <f>IF(COUNTIF('outliers per techniques &amp; human'!A$3:A$28,'outliers per techniques &amp; human'!$W80),'outliers per techniques &amp; human'!$W80,"")</f>
        <v/>
      </c>
      <c r="C79" t="str">
        <f>IF(COUNTIF('outliers per techniques &amp; human'!B$3:B$28,'outliers per techniques &amp; human'!W80),'outliers per techniques &amp; human'!W80,"")</f>
        <v/>
      </c>
      <c r="D79" t="str">
        <f>IF(COUNTIF('outliers per techniques &amp; human'!C$3:C$38,'outliers per techniques &amp; human'!W80),'outliers per techniques &amp; human'!W80,"")</f>
        <v/>
      </c>
      <c r="E79" t="str">
        <f>IF(COUNTIF('outliers per techniques &amp; human'!D$3:D$38,'outliers per techniques &amp; human'!W80),'outliers per techniques &amp; human'!W80,"")</f>
        <v/>
      </c>
      <c r="F79" t="str">
        <f>IF(COUNTIF('outliers per techniques &amp; human'!E$3:E$24,'outliers per techniques &amp; human'!W80),'outliers per techniques &amp; human'!W80,"")</f>
        <v/>
      </c>
      <c r="G79" t="str">
        <f>IF(COUNTIF('outliers per techniques &amp; human'!F$3:F$24,'outliers per techniques &amp; human'!W80),'outliers per techniques &amp; human'!W80,"")</f>
        <v/>
      </c>
      <c r="H79" t="str">
        <f>IF(COUNTIF('outliers per techniques &amp; human'!G$3:G$42,'outliers per techniques &amp; human'!W80),'outliers per techniques &amp; human'!W80,"")</f>
        <v/>
      </c>
      <c r="I79" t="str">
        <f>IF(COUNTIF('outliers per techniques &amp; human'!H$3:H$42,'outliers per techniques &amp; human'!W80),'outliers per techniques &amp; human'!W80,"")</f>
        <v/>
      </c>
      <c r="J79" t="str">
        <f>IF(COUNTIF('outliers per techniques &amp; human'!I$3:I$21,'outliers per techniques &amp; human'!W80),'outliers per techniques &amp; human'!W80,"")</f>
        <v/>
      </c>
      <c r="K79" t="str">
        <f>IF(COUNTIF('outliers per techniques &amp; human'!J$3:J$47,'outliers per techniques &amp; human'!W80),'outliers per techniques &amp; human'!W80,"")</f>
        <v/>
      </c>
      <c r="L79" t="str">
        <f>IF(COUNTIF('outliers per techniques &amp; human'!K$3:K$78,'outliers per techniques &amp; human'!W80),'outliers per techniques &amp; human'!W80,"")</f>
        <v/>
      </c>
      <c r="M79" t="str">
        <f>IF(COUNTIF('outliers per techniques &amp; human'!L$3:L$17,'outliers per techniques &amp; human'!W80),'outliers per techniques &amp; human'!W80,"")</f>
        <v/>
      </c>
      <c r="N79" t="str">
        <f>IF(COUNTIF('outliers per techniques &amp; human'!M$3:M$200,'outliers per techniques &amp; human'!W80),'outliers per techniques &amp; human'!W80,"")</f>
        <v>contentdm</v>
      </c>
      <c r="O79" t="str">
        <f>IF(COUNTIF('outliers per techniques &amp; human'!N$3:N$25,'outliers per techniques &amp; human'!W80),'outliers per techniques &amp; human'!W80,"")</f>
        <v/>
      </c>
      <c r="P79" t="str">
        <f>IF(COUNTIF('outliers per techniques &amp; human'!O$3:O$368,'outliers per techniques &amp; human'!W80),'outliers per techniques &amp; human'!W80,"")</f>
        <v/>
      </c>
    </row>
    <row r="80" spans="2:16" x14ac:dyDescent="0.25">
      <c r="B80" s="4" t="str">
        <f>IF(COUNTIF('outliers per techniques &amp; human'!A$3:A$28,'outliers per techniques &amp; human'!$W81),'outliers per techniques &amp; human'!$W81,"")</f>
        <v/>
      </c>
      <c r="C80" t="str">
        <f>IF(COUNTIF('outliers per techniques &amp; human'!B$3:B$28,'outliers per techniques &amp; human'!W81),'outliers per techniques &amp; human'!W81,"")</f>
        <v/>
      </c>
      <c r="D80" t="str">
        <f>IF(COUNTIF('outliers per techniques &amp; human'!C$3:C$38,'outliers per techniques &amp; human'!W81),'outliers per techniques &amp; human'!W81,"")</f>
        <v/>
      </c>
      <c r="E80" t="str">
        <f>IF(COUNTIF('outliers per techniques &amp; human'!D$3:D$38,'outliers per techniques &amp; human'!W81),'outliers per techniques &amp; human'!W81,"")</f>
        <v/>
      </c>
      <c r="F80" t="str">
        <f>IF(COUNTIF('outliers per techniques &amp; human'!E$3:E$24,'outliers per techniques &amp; human'!W81),'outliers per techniques &amp; human'!W81,"")</f>
        <v/>
      </c>
      <c r="G80" t="str">
        <f>IF(COUNTIF('outliers per techniques &amp; human'!F$3:F$24,'outliers per techniques &amp; human'!W81),'outliers per techniques &amp; human'!W81,"")</f>
        <v/>
      </c>
      <c r="H80" t="str">
        <f>IF(COUNTIF('outliers per techniques &amp; human'!G$3:G$42,'outliers per techniques &amp; human'!W81),'outliers per techniques &amp; human'!W81,"")</f>
        <v/>
      </c>
      <c r="I80" t="str">
        <f>IF(COUNTIF('outliers per techniques &amp; human'!H$3:H$42,'outliers per techniques &amp; human'!W81),'outliers per techniques &amp; human'!W81,"")</f>
        <v/>
      </c>
      <c r="J80" t="str">
        <f>IF(COUNTIF('outliers per techniques &amp; human'!I$3:I$21,'outliers per techniques &amp; human'!W81),'outliers per techniques &amp; human'!W81,"")</f>
        <v/>
      </c>
      <c r="K80" t="str">
        <f>IF(COUNTIF('outliers per techniques &amp; human'!J$3:J$47,'outliers per techniques &amp; human'!W81),'outliers per techniques &amp; human'!W81,"")</f>
        <v/>
      </c>
      <c r="L80" t="str">
        <f>IF(COUNTIF('outliers per techniques &amp; human'!K$3:K$78,'outliers per techniques &amp; human'!W81),'outliers per techniques &amp; human'!W81,"")</f>
        <v>literaturverwaltung</v>
      </c>
      <c r="M80" t="str">
        <f>IF(COUNTIF('outliers per techniques &amp; human'!L$3:L$17,'outliers per techniques &amp; human'!W81),'outliers per techniques &amp; human'!W81,"")</f>
        <v/>
      </c>
      <c r="N80" t="str">
        <f>IF(COUNTIF('outliers per techniques &amp; human'!M$3:M$200,'outliers per techniques &amp; human'!W81),'outliers per techniques &amp; human'!W81,"")</f>
        <v>literaturverwaltung</v>
      </c>
      <c r="O80" t="str">
        <f>IF(COUNTIF('outliers per techniques &amp; human'!N$3:N$25,'outliers per techniques &amp; human'!W81),'outliers per techniques &amp; human'!W81,"")</f>
        <v/>
      </c>
      <c r="P80" t="str">
        <f>IF(COUNTIF('outliers per techniques &amp; human'!O$3:O$368,'outliers per techniques &amp; human'!W81),'outliers per techniques &amp; human'!W81,"")</f>
        <v/>
      </c>
    </row>
    <row r="81" spans="1:16" x14ac:dyDescent="0.25">
      <c r="B81" s="4" t="str">
        <f>IF(COUNTIF('outliers per techniques &amp; human'!A$3:A$28,'outliers per techniques &amp; human'!$W82),'outliers per techniques &amp; human'!$W82,"")</f>
        <v/>
      </c>
      <c r="C81" t="str">
        <f>IF(COUNTIF('outliers per techniques &amp; human'!B$3:B$28,'outliers per techniques &amp; human'!W82),'outliers per techniques &amp; human'!W82,"")</f>
        <v/>
      </c>
      <c r="D81" t="str">
        <f>IF(COUNTIF('outliers per techniques &amp; human'!C$3:C$38,'outliers per techniques &amp; human'!W82),'outliers per techniques &amp; human'!W82,"")</f>
        <v/>
      </c>
      <c r="E81" t="str">
        <f>IF(COUNTIF('outliers per techniques &amp; human'!D$3:D$38,'outliers per techniques &amp; human'!W82),'outliers per techniques &amp; human'!W82,"")</f>
        <v/>
      </c>
      <c r="F81" t="str">
        <f>IF(COUNTIF('outliers per techniques &amp; human'!E$3:E$24,'outliers per techniques &amp; human'!W82),'outliers per techniques &amp; human'!W82,"")</f>
        <v/>
      </c>
      <c r="G81" t="str">
        <f>IF(COUNTIF('outliers per techniques &amp; human'!F$3:F$24,'outliers per techniques &amp; human'!W82),'outliers per techniques &amp; human'!W82,"")</f>
        <v/>
      </c>
      <c r="H81" t="str">
        <f>IF(COUNTIF('outliers per techniques &amp; human'!G$3:G$42,'outliers per techniques &amp; human'!W82),'outliers per techniques &amp; human'!W82,"")</f>
        <v/>
      </c>
      <c r="I81" t="str">
        <f>IF(COUNTIF('outliers per techniques &amp; human'!H$3:H$42,'outliers per techniques &amp; human'!W82),'outliers per techniques &amp; human'!W82,"")</f>
        <v/>
      </c>
      <c r="J81" t="str">
        <f>IF(COUNTIF('outliers per techniques &amp; human'!I$3:I$21,'outliers per techniques &amp; human'!W82),'outliers per techniques &amp; human'!W82,"")</f>
        <v/>
      </c>
      <c r="K81" t="str">
        <f>IF(COUNTIF('outliers per techniques &amp; human'!J$3:J$47,'outliers per techniques &amp; human'!W82),'outliers per techniques &amp; human'!W82,"")</f>
        <v/>
      </c>
      <c r="L81" t="str">
        <f>IF(COUNTIF('outliers per techniques &amp; human'!K$3:K$78,'outliers per techniques &amp; human'!W82),'outliers per techniques &amp; human'!W82,"")</f>
        <v/>
      </c>
      <c r="M81" t="str">
        <f>IF(COUNTIF('outliers per techniques &amp; human'!L$3:L$17,'outliers per techniques &amp; human'!W82),'outliers per techniques &amp; human'!W82,"")</f>
        <v/>
      </c>
      <c r="N81" t="str">
        <f>IF(COUNTIF('outliers per techniques &amp; human'!M$3:M$200,'outliers per techniques &amp; human'!W82),'outliers per techniques &amp; human'!W82,"")</f>
        <v>poetik</v>
      </c>
      <c r="O81" t="str">
        <f>IF(COUNTIF('outliers per techniques &amp; human'!N$3:N$25,'outliers per techniques &amp; human'!W82),'outliers per techniques &amp; human'!W82,"")</f>
        <v/>
      </c>
      <c r="P81" t="str">
        <f>IF(COUNTIF('outliers per techniques &amp; human'!O$3:O$368,'outliers per techniques &amp; human'!W82),'outliers per techniques &amp; human'!W82,"")</f>
        <v/>
      </c>
    </row>
    <row r="82" spans="1:16" x14ac:dyDescent="0.25">
      <c r="B82" s="4" t="str">
        <f>IF(COUNTIF('outliers per techniques &amp; human'!A$3:A$28,'outliers per techniques &amp; human'!$W83),'outliers per techniques &amp; human'!$W83,"")</f>
        <v/>
      </c>
      <c r="C82" t="str">
        <f>IF(COUNTIF('outliers per techniques &amp; human'!B$3:B$28,'outliers per techniques &amp; human'!W83),'outliers per techniques &amp; human'!W83,"")</f>
        <v/>
      </c>
      <c r="D82" t="str">
        <f>IF(COUNTIF('outliers per techniques &amp; human'!C$3:C$38,'outliers per techniques &amp; human'!W83),'outliers per techniques &amp; human'!W83,"")</f>
        <v/>
      </c>
      <c r="E82" t="str">
        <f>IF(COUNTIF('outliers per techniques &amp; human'!D$3:D$38,'outliers per techniques &amp; human'!W83),'outliers per techniques &amp; human'!W83,"")</f>
        <v/>
      </c>
      <c r="F82" t="str">
        <f>IF(COUNTIF('outliers per techniques &amp; human'!E$3:E$24,'outliers per techniques &amp; human'!W83),'outliers per techniques &amp; human'!W83,"")</f>
        <v/>
      </c>
      <c r="G82" t="str">
        <f>IF(COUNTIF('outliers per techniques &amp; human'!F$3:F$24,'outliers per techniques &amp; human'!W83),'outliers per techniques &amp; human'!W83,"")</f>
        <v/>
      </c>
      <c r="H82" t="str">
        <f>IF(COUNTIF('outliers per techniques &amp; human'!G$3:G$42,'outliers per techniques &amp; human'!W83),'outliers per techniques &amp; human'!W83,"")</f>
        <v/>
      </c>
      <c r="I82" t="str">
        <f>IF(COUNTIF('outliers per techniques &amp; human'!H$3:H$42,'outliers per techniques &amp; human'!W83),'outliers per techniques &amp; human'!W83,"")</f>
        <v/>
      </c>
      <c r="J82" t="str">
        <f>IF(COUNTIF('outliers per techniques &amp; human'!I$3:I$21,'outliers per techniques &amp; human'!W83),'outliers per techniques &amp; human'!W83,"")</f>
        <v/>
      </c>
      <c r="K82" t="str">
        <f>IF(COUNTIF('outliers per techniques &amp; human'!J$3:J$47,'outliers per techniques &amp; human'!W83),'outliers per techniques &amp; human'!W83,"")</f>
        <v/>
      </c>
      <c r="L82" t="str">
        <f>IF(COUNTIF('outliers per techniques &amp; human'!K$3:K$78,'outliers per techniques &amp; human'!W83),'outliers per techniques &amp; human'!W83,"")</f>
        <v/>
      </c>
      <c r="M82" t="str">
        <f>IF(COUNTIF('outliers per techniques &amp; human'!L$3:L$17,'outliers per techniques &amp; human'!W83),'outliers per techniques &amp; human'!W83,"")</f>
        <v/>
      </c>
      <c r="N82" t="str">
        <f>IF(COUNTIF('outliers per techniques &amp; human'!M$3:M$200,'outliers per techniques &amp; human'!W83),'outliers per techniques &amp; human'!W83,"")</f>
        <v>informationsbedarfsanalyse</v>
      </c>
      <c r="O82" t="str">
        <f>IF(COUNTIF('outliers per techniques &amp; human'!N$3:N$25,'outliers per techniques &amp; human'!W83),'outliers per techniques &amp; human'!W83,"")</f>
        <v/>
      </c>
      <c r="P82" t="str">
        <f>IF(COUNTIF('outliers per techniques &amp; human'!O$3:O$368,'outliers per techniques &amp; human'!W83),'outliers per techniques &amp; human'!W83,"")</f>
        <v/>
      </c>
    </row>
    <row r="83" spans="1:16" x14ac:dyDescent="0.25">
      <c r="B83" s="4" t="str">
        <f>IF(COUNTIF('outliers per techniques &amp; human'!A$3:A$28,'outliers per techniques &amp; human'!$W84),'outliers per techniques &amp; human'!$W84,"")</f>
        <v/>
      </c>
      <c r="C83" t="str">
        <f>IF(COUNTIF('outliers per techniques &amp; human'!B$3:B$28,'outliers per techniques &amp; human'!W84),'outliers per techniques &amp; human'!W84,"")</f>
        <v/>
      </c>
      <c r="D83" t="str">
        <f>IF(COUNTIF('outliers per techniques &amp; human'!C$3:C$38,'outliers per techniques &amp; human'!W84),'outliers per techniques &amp; human'!W84,"")</f>
        <v/>
      </c>
      <c r="E83" t="str">
        <f>IF(COUNTIF('outliers per techniques &amp; human'!D$3:D$38,'outliers per techniques &amp; human'!W84),'outliers per techniques &amp; human'!W84,"")</f>
        <v/>
      </c>
      <c r="F83" t="str">
        <f>IF(COUNTIF('outliers per techniques &amp; human'!E$3:E$24,'outliers per techniques &amp; human'!W84),'outliers per techniques &amp; human'!W84,"")</f>
        <v/>
      </c>
      <c r="G83" t="str">
        <f>IF(COUNTIF('outliers per techniques &amp; human'!F$3:F$24,'outliers per techniques &amp; human'!W84),'outliers per techniques &amp; human'!W84,"")</f>
        <v/>
      </c>
      <c r="H83" t="str">
        <f>IF(COUNTIF('outliers per techniques &amp; human'!G$3:G$42,'outliers per techniques &amp; human'!W84),'outliers per techniques &amp; human'!W84,"")</f>
        <v/>
      </c>
      <c r="I83" t="str">
        <f>IF(COUNTIF('outliers per techniques &amp; human'!H$3:H$42,'outliers per techniques &amp; human'!W84),'outliers per techniques &amp; human'!W84,"")</f>
        <v/>
      </c>
      <c r="J83" t="str">
        <f>IF(COUNTIF('outliers per techniques &amp; human'!I$3:I$21,'outliers per techniques &amp; human'!W84),'outliers per techniques &amp; human'!W84,"")</f>
        <v/>
      </c>
      <c r="K83" t="str">
        <f>IF(COUNTIF('outliers per techniques &amp; human'!J$3:J$47,'outliers per techniques &amp; human'!W84),'outliers per techniques &amp; human'!W84,"")</f>
        <v/>
      </c>
      <c r="L83" t="str">
        <f>IF(COUNTIF('outliers per techniques &amp; human'!K$3:K$78,'outliers per techniques &amp; human'!W84),'outliers per techniques &amp; human'!W84,"")</f>
        <v/>
      </c>
      <c r="M83" t="str">
        <f>IF(COUNTIF('outliers per techniques &amp; human'!L$3:L$17,'outliers per techniques &amp; human'!W84),'outliers per techniques &amp; human'!W84,"")</f>
        <v/>
      </c>
      <c r="N83" t="str">
        <f>IF(COUNTIF('outliers per techniques &amp; human'!M$3:M$200,'outliers per techniques &amp; human'!W84),'outliers per techniques &amp; human'!W84,"")</f>
        <v/>
      </c>
      <c r="O83" t="str">
        <f>IF(COUNTIF('outliers per techniques &amp; human'!N$3:N$25,'outliers per techniques &amp; human'!W84),'outliers per techniques &amp; human'!W84,"")</f>
        <v/>
      </c>
      <c r="P83" t="str">
        <f>IF(COUNTIF('outliers per techniques &amp; human'!O$3:O$368,'outliers per techniques &amp; human'!W84),'outliers per techniques &amp; human'!W84,"")</f>
        <v>textsatz</v>
      </c>
    </row>
    <row r="84" spans="1:16" x14ac:dyDescent="0.25">
      <c r="B84" s="4" t="str">
        <f>IF(COUNTIF('outliers per techniques &amp; human'!A$3:A$28,'outliers per techniques &amp; human'!$W85),'outliers per techniques &amp; human'!$W85,"")</f>
        <v/>
      </c>
      <c r="C84" t="str">
        <f>IF(COUNTIF('outliers per techniques &amp; human'!B$3:B$28,'outliers per techniques &amp; human'!W85),'outliers per techniques &amp; human'!W85,"")</f>
        <v/>
      </c>
      <c r="D84" t="str">
        <f>IF(COUNTIF('outliers per techniques &amp; human'!C$3:C$38,'outliers per techniques &amp; human'!W85),'outliers per techniques &amp; human'!W85,"")</f>
        <v/>
      </c>
      <c r="E84" t="str">
        <f>IF(COUNTIF('outliers per techniques &amp; human'!D$3:D$38,'outliers per techniques &amp; human'!W85),'outliers per techniques &amp; human'!W85,"")</f>
        <v/>
      </c>
      <c r="F84" t="str">
        <f>IF(COUNTIF('outliers per techniques &amp; human'!E$3:E$24,'outliers per techniques &amp; human'!W85),'outliers per techniques &amp; human'!W85,"")</f>
        <v/>
      </c>
      <c r="G84" t="str">
        <f>IF(COUNTIF('outliers per techniques &amp; human'!F$3:F$24,'outliers per techniques &amp; human'!W85),'outliers per techniques &amp; human'!W85,"")</f>
        <v/>
      </c>
      <c r="H84" t="str">
        <f>IF(COUNTIF('outliers per techniques &amp; human'!G$3:G$42,'outliers per techniques &amp; human'!W85),'outliers per techniques &amp; human'!W85,"")</f>
        <v/>
      </c>
      <c r="I84" t="str">
        <f>IF(COUNTIF('outliers per techniques &amp; human'!H$3:H$42,'outliers per techniques &amp; human'!W85),'outliers per techniques &amp; human'!W85,"")</f>
        <v/>
      </c>
      <c r="J84" t="str">
        <f>IF(COUNTIF('outliers per techniques &amp; human'!I$3:I$21,'outliers per techniques &amp; human'!W85),'outliers per techniques &amp; human'!W85,"")</f>
        <v/>
      </c>
      <c r="K84" t="str">
        <f>IF(COUNTIF('outliers per techniques &amp; human'!J$3:J$47,'outliers per techniques &amp; human'!W85),'outliers per techniques &amp; human'!W85,"")</f>
        <v/>
      </c>
      <c r="L84" t="str">
        <f>IF(COUNTIF('outliers per techniques &amp; human'!K$3:K$78,'outliers per techniques &amp; human'!W85),'outliers per techniques &amp; human'!W85,"")</f>
        <v/>
      </c>
      <c r="M84" t="str">
        <f>IF(COUNTIF('outliers per techniques &amp; human'!L$3:L$17,'outliers per techniques &amp; human'!W85),'outliers per techniques &amp; human'!W85,"")</f>
        <v/>
      </c>
      <c r="N84" t="str">
        <f>IF(COUNTIF('outliers per techniques &amp; human'!M$3:M$200,'outliers per techniques &amp; human'!W85),'outliers per techniques &amp; human'!W85,"")</f>
        <v/>
      </c>
      <c r="O84" t="str">
        <f>IF(COUNTIF('outliers per techniques &amp; human'!N$3:N$25,'outliers per techniques &amp; human'!W85),'outliers per techniques &amp; human'!W85,"")</f>
        <v/>
      </c>
      <c r="P84" t="str">
        <f>IF(COUNTIF('outliers per techniques &amp; human'!O$3:O$368,'outliers per techniques &amp; human'!W85),'outliers per techniques &amp; human'!W85,"")</f>
        <v>irak</v>
      </c>
    </row>
    <row r="85" spans="1:16" x14ac:dyDescent="0.25">
      <c r="B85" s="4" t="str">
        <f>IF(COUNTIF('outliers per techniques &amp; human'!A$3:A$28,'outliers per techniques &amp; human'!$W86),'outliers per techniques &amp; human'!$W86,"")</f>
        <v/>
      </c>
      <c r="C85" t="str">
        <f>IF(COUNTIF('outliers per techniques &amp; human'!B$3:B$28,'outliers per techniques &amp; human'!W86),'outliers per techniques &amp; human'!W86,"")</f>
        <v/>
      </c>
      <c r="D85" t="str">
        <f>IF(COUNTIF('outliers per techniques &amp; human'!C$3:C$38,'outliers per techniques &amp; human'!W86),'outliers per techniques &amp; human'!W86,"")</f>
        <v/>
      </c>
      <c r="E85" t="str">
        <f>IF(COUNTIF('outliers per techniques &amp; human'!D$3:D$38,'outliers per techniques &amp; human'!W86),'outliers per techniques &amp; human'!W86,"")</f>
        <v/>
      </c>
      <c r="F85" t="str">
        <f>IF(COUNTIF('outliers per techniques &amp; human'!E$3:E$24,'outliers per techniques &amp; human'!W86),'outliers per techniques &amp; human'!W86,"")</f>
        <v/>
      </c>
      <c r="G85" t="str">
        <f>IF(COUNTIF('outliers per techniques &amp; human'!F$3:F$24,'outliers per techniques &amp; human'!W86),'outliers per techniques &amp; human'!W86,"")</f>
        <v/>
      </c>
      <c r="H85" t="str">
        <f>IF(COUNTIF('outliers per techniques &amp; human'!G$3:G$42,'outliers per techniques &amp; human'!W86),'outliers per techniques &amp; human'!W86,"")</f>
        <v/>
      </c>
      <c r="I85" t="str">
        <f>IF(COUNTIF('outliers per techniques &amp; human'!H$3:H$42,'outliers per techniques &amp; human'!W86),'outliers per techniques &amp; human'!W86,"")</f>
        <v/>
      </c>
      <c r="J85" t="str">
        <f>IF(COUNTIF('outliers per techniques &amp; human'!I$3:I$21,'outliers per techniques &amp; human'!W86),'outliers per techniques &amp; human'!W86,"")</f>
        <v/>
      </c>
      <c r="K85" t="str">
        <f>IF(COUNTIF('outliers per techniques &amp; human'!J$3:J$47,'outliers per techniques &amp; human'!W86),'outliers per techniques &amp; human'!W86,"")</f>
        <v/>
      </c>
      <c r="L85" t="str">
        <f>IF(COUNTIF('outliers per techniques &amp; human'!K$3:K$78,'outliers per techniques &amp; human'!W86),'outliers per techniques &amp; human'!W86,"")</f>
        <v/>
      </c>
      <c r="M85" t="str">
        <f>IF(COUNTIF('outliers per techniques &amp; human'!L$3:L$17,'outliers per techniques &amp; human'!W86),'outliers per techniques &amp; human'!W86,"")</f>
        <v/>
      </c>
      <c r="N85" t="str">
        <f>IF(COUNTIF('outliers per techniques &amp; human'!M$3:M$200,'outliers per techniques &amp; human'!W86),'outliers per techniques &amp; human'!W86,"")</f>
        <v>dokumente</v>
      </c>
      <c r="O85" t="str">
        <f>IF(COUNTIF('outliers per techniques &amp; human'!N$3:N$25,'outliers per techniques &amp; human'!W86),'outliers per techniques &amp; human'!W86,"")</f>
        <v/>
      </c>
      <c r="P85" t="str">
        <f>IF(COUNTIF('outliers per techniques &amp; human'!O$3:O$368,'outliers per techniques &amp; human'!W86),'outliers per techniques &amp; human'!W86,"")</f>
        <v/>
      </c>
    </row>
    <row r="86" spans="1:16" x14ac:dyDescent="0.25">
      <c r="B86" s="4" t="str">
        <f>IF(COUNTIF('outliers per techniques &amp; human'!A$3:A$28,'outliers per techniques &amp; human'!$W87),'outliers per techniques &amp; human'!$W87,"")</f>
        <v/>
      </c>
      <c r="C86" t="str">
        <f>IF(COUNTIF('outliers per techniques &amp; human'!B$3:B$28,'outliers per techniques &amp; human'!W87),'outliers per techniques &amp; human'!W87,"")</f>
        <v/>
      </c>
      <c r="D86" t="str">
        <f>IF(COUNTIF('outliers per techniques &amp; human'!C$3:C$38,'outliers per techniques &amp; human'!W87),'outliers per techniques &amp; human'!W87,"")</f>
        <v/>
      </c>
      <c r="E86" t="str">
        <f>IF(COUNTIF('outliers per techniques &amp; human'!D$3:D$38,'outliers per techniques &amp; human'!W87),'outliers per techniques &amp; human'!W87,"")</f>
        <v/>
      </c>
      <c r="F86" t="str">
        <f>IF(COUNTIF('outliers per techniques &amp; human'!E$3:E$24,'outliers per techniques &amp; human'!W87),'outliers per techniques &amp; human'!W87,"")</f>
        <v/>
      </c>
      <c r="G86" t="str">
        <f>IF(COUNTIF('outliers per techniques &amp; human'!F$3:F$24,'outliers per techniques &amp; human'!W87),'outliers per techniques &amp; human'!W87,"")</f>
        <v/>
      </c>
      <c r="H86" t="str">
        <f>IF(COUNTIF('outliers per techniques &amp; human'!G$3:G$42,'outliers per techniques &amp; human'!W87),'outliers per techniques &amp; human'!W87,"")</f>
        <v/>
      </c>
      <c r="I86" t="str">
        <f>IF(COUNTIF('outliers per techniques &amp; human'!H$3:H$42,'outliers per techniques &amp; human'!W87),'outliers per techniques &amp; human'!W87,"")</f>
        <v/>
      </c>
      <c r="J86" t="str">
        <f>IF(COUNTIF('outliers per techniques &amp; human'!I$3:I$21,'outliers per techniques &amp; human'!W87),'outliers per techniques &amp; human'!W87,"")</f>
        <v>2000</v>
      </c>
      <c r="K86" t="str">
        <f>IF(COUNTIF('outliers per techniques &amp; human'!J$3:J$47,'outliers per techniques &amp; human'!W87),'outliers per techniques &amp; human'!W87,"")</f>
        <v>2000</v>
      </c>
      <c r="L86" t="str">
        <f>IF(COUNTIF('outliers per techniques &amp; human'!K$3:K$78,'outliers per techniques &amp; human'!W87),'outliers per techniques &amp; human'!W87,"")</f>
        <v/>
      </c>
      <c r="M86" t="str">
        <f>IF(COUNTIF('outliers per techniques &amp; human'!L$3:L$17,'outliers per techniques &amp; human'!W87),'outliers per techniques &amp; human'!W87,"")</f>
        <v/>
      </c>
      <c r="N86" t="str">
        <f>IF(COUNTIF('outliers per techniques &amp; human'!M$3:M$200,'outliers per techniques &amp; human'!W87),'outliers per techniques &amp; human'!W87,"")</f>
        <v/>
      </c>
      <c r="O86" t="str">
        <f>IF(COUNTIF('outliers per techniques &amp; human'!N$3:N$25,'outliers per techniques &amp; human'!W87),'outliers per techniques &amp; human'!W87,"")</f>
        <v/>
      </c>
      <c r="P86" t="str">
        <f>IF(COUNTIF('outliers per techniques &amp; human'!O$3:O$368,'outliers per techniques &amp; human'!W87),'outliers per techniques &amp; human'!W87,"")</f>
        <v/>
      </c>
    </row>
    <row r="87" spans="1:16" x14ac:dyDescent="0.25">
      <c r="B87" s="4" t="str">
        <f>IF(COUNTIF('outliers per techniques &amp; human'!A$3:A$28,'outliers per techniques &amp; human'!$W88),'outliers per techniques &amp; human'!$W88,"")</f>
        <v/>
      </c>
      <c r="C87" t="str">
        <f>IF(COUNTIF('outliers per techniques &amp; human'!B$3:B$28,'outliers per techniques &amp; human'!W88),'outliers per techniques &amp; human'!W88,"")</f>
        <v/>
      </c>
      <c r="D87" t="str">
        <f>IF(COUNTIF('outliers per techniques &amp; human'!C$3:C$38,'outliers per techniques &amp; human'!W88),'outliers per techniques &amp; human'!W88,"")</f>
        <v/>
      </c>
      <c r="E87" t="str">
        <f>IF(COUNTIF('outliers per techniques &amp; human'!D$3:D$38,'outliers per techniques &amp; human'!W88),'outliers per techniques &amp; human'!W88,"")</f>
        <v/>
      </c>
      <c r="F87" t="str">
        <f>IF(COUNTIF('outliers per techniques &amp; human'!E$3:E$24,'outliers per techniques &amp; human'!W88),'outliers per techniques &amp; human'!W88,"")</f>
        <v/>
      </c>
      <c r="G87" t="str">
        <f>IF(COUNTIF('outliers per techniques &amp; human'!F$3:F$24,'outliers per techniques &amp; human'!W88),'outliers per techniques &amp; human'!W88,"")</f>
        <v/>
      </c>
      <c r="H87" t="str">
        <f>IF(COUNTIF('outliers per techniques &amp; human'!G$3:G$42,'outliers per techniques &amp; human'!W88),'outliers per techniques &amp; human'!W88,"")</f>
        <v>2006</v>
      </c>
      <c r="I87" t="str">
        <f>IF(COUNTIF('outliers per techniques &amp; human'!H$3:H$42,'outliers per techniques &amp; human'!W88),'outliers per techniques &amp; human'!W88,"")</f>
        <v/>
      </c>
      <c r="J87" t="str">
        <f>IF(COUNTIF('outliers per techniques &amp; human'!I$3:I$21,'outliers per techniques &amp; human'!W88),'outliers per techniques &amp; human'!W88,"")</f>
        <v/>
      </c>
      <c r="K87" t="str">
        <f>IF(COUNTIF('outliers per techniques &amp; human'!J$3:J$47,'outliers per techniques &amp; human'!W88),'outliers per techniques &amp; human'!W88,"")</f>
        <v/>
      </c>
      <c r="L87" t="str">
        <f>IF(COUNTIF('outliers per techniques &amp; human'!K$3:K$78,'outliers per techniques &amp; human'!W88),'outliers per techniques &amp; human'!W88,"")</f>
        <v/>
      </c>
      <c r="M87" t="str">
        <f>IF(COUNTIF('outliers per techniques &amp; human'!L$3:L$17,'outliers per techniques &amp; human'!W88),'outliers per techniques &amp; human'!W88,"")</f>
        <v/>
      </c>
      <c r="N87" t="str">
        <f>IF(COUNTIF('outliers per techniques &amp; human'!M$3:M$200,'outliers per techniques &amp; human'!W88),'outliers per techniques &amp; human'!W88,"")</f>
        <v/>
      </c>
      <c r="O87" t="str">
        <f>IF(COUNTIF('outliers per techniques &amp; human'!N$3:N$25,'outliers per techniques &amp; human'!W88),'outliers per techniques &amp; human'!W88,"")</f>
        <v/>
      </c>
      <c r="P87" t="str">
        <f>IF(COUNTIF('outliers per techniques &amp; human'!O$3:O$368,'outliers per techniques &amp; human'!W88),'outliers per techniques &amp; human'!W88,"")</f>
        <v/>
      </c>
    </row>
    <row r="88" spans="1:16" x14ac:dyDescent="0.25">
      <c r="B88" s="4" t="str">
        <f>IF(COUNTIF('outliers per techniques &amp; human'!A$3:A$28,'outliers per techniques &amp; human'!$W89),'outliers per techniques &amp; human'!$W89,"")</f>
        <v/>
      </c>
      <c r="C88" t="str">
        <f>IF(COUNTIF('outliers per techniques &amp; human'!B$3:B$28,'outliers per techniques &amp; human'!W89),'outliers per techniques &amp; human'!W89,"")</f>
        <v/>
      </c>
      <c r="D88" t="str">
        <f>IF(COUNTIF('outliers per techniques &amp; human'!C$3:C$38,'outliers per techniques &amp; human'!W89),'outliers per techniques &amp; human'!W89,"")</f>
        <v/>
      </c>
      <c r="E88" t="str">
        <f>IF(COUNTIF('outliers per techniques &amp; human'!D$3:D$38,'outliers per techniques &amp; human'!W89),'outliers per techniques &amp; human'!W89,"")</f>
        <v/>
      </c>
      <c r="F88" t="str">
        <f>IF(COUNTIF('outliers per techniques &amp; human'!E$3:E$24,'outliers per techniques &amp; human'!W89),'outliers per techniques &amp; human'!W89,"")</f>
        <v/>
      </c>
      <c r="G88" t="str">
        <f>IF(COUNTIF('outliers per techniques &amp; human'!F$3:F$24,'outliers per techniques &amp; human'!W89),'outliers per techniques &amp; human'!W89,"")</f>
        <v/>
      </c>
      <c r="H88" t="str">
        <f>IF(COUNTIF('outliers per techniques &amp; human'!G$3:G$42,'outliers per techniques &amp; human'!W89),'outliers per techniques &amp; human'!W89,"")</f>
        <v/>
      </c>
      <c r="I88" t="str">
        <f>IF(COUNTIF('outliers per techniques &amp; human'!H$3:H$42,'outliers per techniques &amp; human'!W89),'outliers per techniques &amp; human'!W89,"")</f>
        <v/>
      </c>
      <c r="J88" t="str">
        <f>IF(COUNTIF('outliers per techniques &amp; human'!I$3:I$21,'outliers per techniques &amp; human'!W89),'outliers per techniques &amp; human'!W89,"")</f>
        <v/>
      </c>
      <c r="K88" t="str">
        <f>IF(COUNTIF('outliers per techniques &amp; human'!J$3:J$47,'outliers per techniques &amp; human'!W89),'outliers per techniques &amp; human'!W89,"")</f>
        <v/>
      </c>
      <c r="L88" t="str">
        <f>IF(COUNTIF('outliers per techniques &amp; human'!K$3:K$78,'outliers per techniques &amp; human'!W89),'outliers per techniques &amp; human'!W89,"")</f>
        <v/>
      </c>
      <c r="M88" t="str">
        <f>IF(COUNTIF('outliers per techniques &amp; human'!L$3:L$17,'outliers per techniques &amp; human'!W89),'outliers per techniques &amp; human'!W89,"")</f>
        <v/>
      </c>
      <c r="N88" t="str">
        <f>IF(COUNTIF('outliers per techniques &amp; human'!M$3:M$200,'outliers per techniques &amp; human'!W89),'outliers per techniques &amp; human'!W89,"")</f>
        <v/>
      </c>
      <c r="O88" t="str">
        <f>IF(COUNTIF('outliers per techniques &amp; human'!N$3:N$25,'outliers per techniques &amp; human'!W89),'outliers per techniques &amp; human'!W89,"")</f>
        <v/>
      </c>
      <c r="P88" t="str">
        <f>IF(COUNTIF('outliers per techniques &amp; human'!O$3:O$368,'outliers per techniques &amp; human'!W89),'outliers per techniques &amp; human'!W89,"")</f>
        <v>mypaper</v>
      </c>
    </row>
    <row r="89" spans="1:16" x14ac:dyDescent="0.25">
      <c r="B89" s="4" t="str">
        <f>IF(COUNTIF('outliers per techniques &amp; human'!A$3:A$28,'outliers per techniques &amp; human'!$W90),'outliers per techniques &amp; human'!$W90,"")</f>
        <v/>
      </c>
      <c r="C89" t="str">
        <f>IF(COUNTIF('outliers per techniques &amp; human'!B$3:B$28,'outliers per techniques &amp; human'!W90),'outliers per techniques &amp; human'!W90,"")</f>
        <v/>
      </c>
      <c r="D89" t="str">
        <f>IF(COUNTIF('outliers per techniques &amp; human'!C$3:C$38,'outliers per techniques &amp; human'!W90),'outliers per techniques &amp; human'!W90,"")</f>
        <v/>
      </c>
      <c r="E89" t="str">
        <f>IF(COUNTIF('outliers per techniques &amp; human'!D$3:D$38,'outliers per techniques &amp; human'!W90),'outliers per techniques &amp; human'!W90,"")</f>
        <v/>
      </c>
      <c r="F89" t="str">
        <f>IF(COUNTIF('outliers per techniques &amp; human'!E$3:E$24,'outliers per techniques &amp; human'!W90),'outliers per techniques &amp; human'!W90,"")</f>
        <v/>
      </c>
      <c r="G89" t="str">
        <f>IF(COUNTIF('outliers per techniques &amp; human'!F$3:F$24,'outliers per techniques &amp; human'!W90),'outliers per techniques &amp; human'!W90,"")</f>
        <v/>
      </c>
      <c r="H89" t="str">
        <f>IF(COUNTIF('outliers per techniques &amp; human'!G$3:G$42,'outliers per techniques &amp; human'!W90),'outliers per techniques &amp; human'!W90,"")</f>
        <v/>
      </c>
      <c r="I89" t="str">
        <f>IF(COUNTIF('outliers per techniques &amp; human'!H$3:H$42,'outliers per techniques &amp; human'!W90),'outliers per techniques &amp; human'!W90,"")</f>
        <v/>
      </c>
      <c r="J89" t="str">
        <f>IF(COUNTIF('outliers per techniques &amp; human'!I$3:I$21,'outliers per techniques &amp; human'!W90),'outliers per techniques &amp; human'!W90,"")</f>
        <v/>
      </c>
      <c r="K89" t="str">
        <f>IF(COUNTIF('outliers per techniques &amp; human'!J$3:J$47,'outliers per techniques &amp; human'!W90),'outliers per techniques &amp; human'!W90,"")</f>
        <v/>
      </c>
      <c r="L89" t="str">
        <f>IF(COUNTIF('outliers per techniques &amp; human'!K$3:K$78,'outliers per techniques &amp; human'!W90),'outliers per techniques &amp; human'!W90,"")</f>
        <v/>
      </c>
      <c r="M89" t="str">
        <f>IF(COUNTIF('outliers per techniques &amp; human'!L$3:L$17,'outliers per techniques &amp; human'!W90),'outliers per techniques &amp; human'!W90,"")</f>
        <v/>
      </c>
      <c r="N89" t="str">
        <f>IF(COUNTIF('outliers per techniques &amp; human'!M$3:M$200,'outliers per techniques &amp; human'!W90),'outliers per techniques &amp; human'!W90,"")</f>
        <v>hoppenstedt</v>
      </c>
      <c r="O89" t="str">
        <f>IF(COUNTIF('outliers per techniques &amp; human'!N$3:N$25,'outliers per techniques &amp; human'!W90),'outliers per techniques &amp; human'!W90,"")</f>
        <v/>
      </c>
      <c r="P89" t="str">
        <f>IF(COUNTIF('outliers per techniques &amp; human'!O$3:O$368,'outliers per techniques &amp; human'!W90),'outliers per techniques &amp; human'!W90,"")</f>
        <v/>
      </c>
    </row>
    <row r="90" spans="1:16" x14ac:dyDescent="0.25">
      <c r="B90" s="4" t="str">
        <f>IF(COUNTIF('outliers per techniques &amp; human'!A$3:A$28,'outliers per techniques &amp; human'!$W91),'outliers per techniques &amp; human'!$W91,"")</f>
        <v/>
      </c>
      <c r="C90" t="str">
        <f>IF(COUNTIF('outliers per techniques &amp; human'!B$3:B$28,'outliers per techniques &amp; human'!W91),'outliers per techniques &amp; human'!W91,"")</f>
        <v/>
      </c>
      <c r="D90" t="str">
        <f>IF(COUNTIF('outliers per techniques &amp; human'!C$3:C$38,'outliers per techniques &amp; human'!W91),'outliers per techniques &amp; human'!W91,"")</f>
        <v/>
      </c>
      <c r="E90" t="str">
        <f>IF(COUNTIF('outliers per techniques &amp; human'!D$3:D$38,'outliers per techniques &amp; human'!W91),'outliers per techniques &amp; human'!W91,"")</f>
        <v/>
      </c>
      <c r="F90" t="str">
        <f>IF(COUNTIF('outliers per techniques &amp; human'!E$3:E$24,'outliers per techniques &amp; human'!W91),'outliers per techniques &amp; human'!W91,"")</f>
        <v/>
      </c>
      <c r="G90" t="str">
        <f>IF(COUNTIF('outliers per techniques &amp; human'!F$3:F$24,'outliers per techniques &amp; human'!W91),'outliers per techniques &amp; human'!W91,"")</f>
        <v/>
      </c>
      <c r="H90" t="str">
        <f>IF(COUNTIF('outliers per techniques &amp; human'!G$3:G$42,'outliers per techniques &amp; human'!W91),'outliers per techniques &amp; human'!W91,"")</f>
        <v/>
      </c>
      <c r="I90" t="str">
        <f>IF(COUNTIF('outliers per techniques &amp; human'!H$3:H$42,'outliers per techniques &amp; human'!W91),'outliers per techniques &amp; human'!W91,"")</f>
        <v/>
      </c>
      <c r="J90" t="str">
        <f>IF(COUNTIF('outliers per techniques &amp; human'!I$3:I$21,'outliers per techniques &amp; human'!W91),'outliers per techniques &amp; human'!W91,"")</f>
        <v/>
      </c>
      <c r="K90" t="str">
        <f>IF(COUNTIF('outliers per techniques &amp; human'!J$3:J$47,'outliers per techniques &amp; human'!W91),'outliers per techniques &amp; human'!W91,"")</f>
        <v/>
      </c>
      <c r="L90" t="str">
        <f>IF(COUNTIF('outliers per techniques &amp; human'!K$3:K$78,'outliers per techniques &amp; human'!W91),'outliers per techniques &amp; human'!W91,"")</f>
        <v/>
      </c>
      <c r="M90" t="str">
        <f>IF(COUNTIF('outliers per techniques &amp; human'!L$3:L$17,'outliers per techniques &amp; human'!W91),'outliers per techniques &amp; human'!W91,"")</f>
        <v/>
      </c>
      <c r="N90" t="str">
        <f>IF(COUNTIF('outliers per techniques &amp; human'!M$3:M$200,'outliers per techniques &amp; human'!W91),'outliers per techniques &amp; human'!W91,"")</f>
        <v>nicholas</v>
      </c>
      <c r="O90" t="str">
        <f>IF(COUNTIF('outliers per techniques &amp; human'!N$3:N$25,'outliers per techniques &amp; human'!W91),'outliers per techniques &amp; human'!W91,"")</f>
        <v/>
      </c>
      <c r="P90" t="str">
        <f>IF(COUNTIF('outliers per techniques &amp; human'!O$3:O$368,'outliers per techniques &amp; human'!W91),'outliers per techniques &amp; human'!W91,"")</f>
        <v/>
      </c>
    </row>
    <row r="91" spans="1:16" x14ac:dyDescent="0.25">
      <c r="B91" s="4" t="str">
        <f>IF(COUNTIF('outliers per techniques &amp; human'!A$3:A$28,'outliers per techniques &amp; human'!$W92),'outliers per techniques &amp; human'!$W92,"")</f>
        <v/>
      </c>
      <c r="C91" t="str">
        <f>IF(COUNTIF('outliers per techniques &amp; human'!B$3:B$28,'outliers per techniques &amp; human'!W92),'outliers per techniques &amp; human'!W92,"")</f>
        <v>objektorientierung</v>
      </c>
      <c r="D91" t="str">
        <f>IF(COUNTIF('outliers per techniques &amp; human'!C$3:C$38,'outliers per techniques &amp; human'!W92),'outliers per techniques &amp; human'!W92,"")</f>
        <v/>
      </c>
      <c r="E91" t="str">
        <f>IF(COUNTIF('outliers per techniques &amp; human'!D$3:D$38,'outliers per techniques &amp; human'!W92),'outliers per techniques &amp; human'!W92,"")</f>
        <v/>
      </c>
      <c r="F91" t="str">
        <f>IF(COUNTIF('outliers per techniques &amp; human'!E$3:E$24,'outliers per techniques &amp; human'!W92),'outliers per techniques &amp; human'!W92,"")</f>
        <v/>
      </c>
      <c r="G91" t="str">
        <f>IF(COUNTIF('outliers per techniques &amp; human'!F$3:F$24,'outliers per techniques &amp; human'!W92),'outliers per techniques &amp; human'!W92,"")</f>
        <v/>
      </c>
      <c r="H91" t="str">
        <f>IF(COUNTIF('outliers per techniques &amp; human'!G$3:G$42,'outliers per techniques &amp; human'!W92),'outliers per techniques &amp; human'!W92,"")</f>
        <v/>
      </c>
      <c r="I91" t="str">
        <f>IF(COUNTIF('outliers per techniques &amp; human'!H$3:H$42,'outliers per techniques &amp; human'!W92),'outliers per techniques &amp; human'!W92,"")</f>
        <v/>
      </c>
      <c r="J91" t="str">
        <f>IF(COUNTIF('outliers per techniques &amp; human'!I$3:I$21,'outliers per techniques &amp; human'!W92),'outliers per techniques &amp; human'!W92,"")</f>
        <v/>
      </c>
      <c r="K91" t="str">
        <f>IF(COUNTIF('outliers per techniques &amp; human'!J$3:J$47,'outliers per techniques &amp; human'!W92),'outliers per techniques &amp; human'!W92,"")</f>
        <v/>
      </c>
      <c r="L91" t="str">
        <f>IF(COUNTIF('outliers per techniques &amp; human'!K$3:K$78,'outliers per techniques &amp; human'!W92),'outliers per techniques &amp; human'!W92,"")</f>
        <v/>
      </c>
      <c r="M91" t="str">
        <f>IF(COUNTIF('outliers per techniques &amp; human'!L$3:L$17,'outliers per techniques &amp; human'!W92),'outliers per techniques &amp; human'!W92,"")</f>
        <v/>
      </c>
      <c r="N91" t="str">
        <f>IF(COUNTIF('outliers per techniques &amp; human'!M$3:M$200,'outliers per techniques &amp; human'!W92),'outliers per techniques &amp; human'!W92,"")</f>
        <v/>
      </c>
      <c r="O91" t="str">
        <f>IF(COUNTIF('outliers per techniques &amp; human'!N$3:N$25,'outliers per techniques &amp; human'!W92),'outliers per techniques &amp; human'!W92,"")</f>
        <v/>
      </c>
      <c r="P91" t="str">
        <f>IF(COUNTIF('outliers per techniques &amp; human'!O$3:O$368,'outliers per techniques &amp; human'!W92),'outliers per techniques &amp; human'!W92,"")</f>
        <v/>
      </c>
    </row>
    <row r="92" spans="1:16" x14ac:dyDescent="0.25">
      <c r="B92" s="4" t="str">
        <f>IF(COUNTIF('outliers per techniques &amp; human'!A$3:A$28,'outliers per techniques &amp; human'!$W93),'outliers per techniques &amp; human'!$W93,"")</f>
        <v/>
      </c>
      <c r="C92" t="str">
        <f>IF(COUNTIF('outliers per techniques &amp; human'!B$3:B$28,'outliers per techniques &amp; human'!W93),'outliers per techniques &amp; human'!W93,"")</f>
        <v/>
      </c>
      <c r="D92" t="str">
        <f>IF(COUNTIF('outliers per techniques &amp; human'!C$3:C$38,'outliers per techniques &amp; human'!W93),'outliers per techniques &amp; human'!W93,"")</f>
        <v/>
      </c>
      <c r="E92" t="str">
        <f>IF(COUNTIF('outliers per techniques &amp; human'!D$3:D$38,'outliers per techniques &amp; human'!W93),'outliers per techniques &amp; human'!W93,"")</f>
        <v/>
      </c>
      <c r="F92" t="str">
        <f>IF(COUNTIF('outliers per techniques &amp; human'!E$3:E$24,'outliers per techniques &amp; human'!W93),'outliers per techniques &amp; human'!W93,"")</f>
        <v/>
      </c>
      <c r="G92" t="str">
        <f>IF(COUNTIF('outliers per techniques &amp; human'!F$3:F$24,'outliers per techniques &amp; human'!W93),'outliers per techniques &amp; human'!W93,"")</f>
        <v/>
      </c>
      <c r="H92" t="str">
        <f>IF(COUNTIF('outliers per techniques &amp; human'!G$3:G$42,'outliers per techniques &amp; human'!W93),'outliers per techniques &amp; human'!W93,"")</f>
        <v/>
      </c>
      <c r="I92" t="str">
        <f>IF(COUNTIF('outliers per techniques &amp; human'!H$3:H$42,'outliers per techniques &amp; human'!W93),'outliers per techniques &amp; human'!W93,"")</f>
        <v/>
      </c>
      <c r="J92" t="str">
        <f>IF(COUNTIF('outliers per techniques &amp; human'!I$3:I$21,'outliers per techniques &amp; human'!W93),'outliers per techniques &amp; human'!W93,"")</f>
        <v/>
      </c>
      <c r="K92" t="str">
        <f>IF(COUNTIF('outliers per techniques &amp; human'!J$3:J$47,'outliers per techniques &amp; human'!W93),'outliers per techniques &amp; human'!W93,"")</f>
        <v/>
      </c>
      <c r="L92" t="str">
        <f>IF(COUNTIF('outliers per techniques &amp; human'!K$3:K$78,'outliers per techniques &amp; human'!W93),'outliers per techniques &amp; human'!W93,"")</f>
        <v/>
      </c>
      <c r="M92" t="str">
        <f>IF(COUNTIF('outliers per techniques &amp; human'!L$3:L$17,'outliers per techniques &amp; human'!W93),'outliers per techniques &amp; human'!W93,"")</f>
        <v/>
      </c>
      <c r="N92" t="str">
        <f>IF(COUNTIF('outliers per techniques &amp; human'!M$3:M$200,'outliers per techniques &amp; human'!W93),'outliers per techniques &amp; human'!W93,"")</f>
        <v>james</v>
      </c>
      <c r="O92" t="str">
        <f>IF(COUNTIF('outliers per techniques &amp; human'!N$3:N$25,'outliers per techniques &amp; human'!W93),'outliers per techniques &amp; human'!W93,"")</f>
        <v/>
      </c>
      <c r="P92" t="str">
        <f>IF(COUNTIF('outliers per techniques &amp; human'!O$3:O$368,'outliers per techniques &amp; human'!W93),'outliers per techniques &amp; human'!W93,"")</f>
        <v/>
      </c>
    </row>
    <row r="93" spans="1:16" x14ac:dyDescent="0.25">
      <c r="A93" s="8" t="s">
        <v>788</v>
      </c>
      <c r="B93" s="9">
        <f>91-COUNTBLANK(B2:B92)</f>
        <v>3</v>
      </c>
      <c r="C93" s="7">
        <f t="shared" ref="C93:P93" si="0">91-COUNTBLANK(C2:C92)</f>
        <v>3</v>
      </c>
      <c r="D93" s="7">
        <f t="shared" si="0"/>
        <v>5</v>
      </c>
      <c r="E93" s="7">
        <f t="shared" si="0"/>
        <v>1</v>
      </c>
      <c r="F93" s="7">
        <f t="shared" si="0"/>
        <v>4</v>
      </c>
      <c r="G93" s="7">
        <f t="shared" si="0"/>
        <v>1</v>
      </c>
      <c r="H93" s="7">
        <f t="shared" si="0"/>
        <v>6</v>
      </c>
      <c r="I93" s="7">
        <f t="shared" si="0"/>
        <v>2</v>
      </c>
      <c r="J93" s="7">
        <f t="shared" si="0"/>
        <v>5</v>
      </c>
      <c r="K93" s="7">
        <f t="shared" si="0"/>
        <v>6</v>
      </c>
      <c r="L93" s="7">
        <f t="shared" si="0"/>
        <v>9</v>
      </c>
      <c r="M93" s="7">
        <f t="shared" si="0"/>
        <v>5</v>
      </c>
      <c r="N93" s="7">
        <f t="shared" si="0"/>
        <v>46</v>
      </c>
      <c r="O93" s="7">
        <f t="shared" si="0"/>
        <v>4</v>
      </c>
      <c r="P93" s="7">
        <f t="shared" si="0"/>
        <v>32</v>
      </c>
    </row>
    <row r="94" spans="1:16" x14ac:dyDescent="0.25">
      <c r="A94" s="5" t="s">
        <v>789</v>
      </c>
      <c r="B94" s="4">
        <f>B93/26</f>
        <v>0.11538461538461539</v>
      </c>
      <c r="C94" s="1">
        <f>C93/26</f>
        <v>0.11538461538461539</v>
      </c>
      <c r="D94" s="1">
        <f>D93/36</f>
        <v>0.1388888888888889</v>
      </c>
      <c r="E94" s="1">
        <f>E93/36</f>
        <v>2.7777777777777776E-2</v>
      </c>
      <c r="F94" s="1">
        <f>F93/22</f>
        <v>0.18181818181818182</v>
      </c>
      <c r="G94" s="1">
        <f>G93/22</f>
        <v>4.5454545454545456E-2</v>
      </c>
      <c r="H94" s="1">
        <f>H93/40</f>
        <v>0.15</v>
      </c>
      <c r="I94" s="1">
        <f>I93/40</f>
        <v>0.05</v>
      </c>
      <c r="J94" s="1">
        <f>J93/19</f>
        <v>0.26315789473684209</v>
      </c>
      <c r="K94" s="1">
        <f>K93/45</f>
        <v>0.13333333333333333</v>
      </c>
      <c r="L94" s="1">
        <f>L93/76</f>
        <v>0.11842105263157894</v>
      </c>
      <c r="M94" s="1">
        <f>M93/15</f>
        <v>0.33333333333333331</v>
      </c>
      <c r="N94" s="1">
        <f>N93/198</f>
        <v>0.23232323232323232</v>
      </c>
      <c r="O94" s="1">
        <f>O93/23</f>
        <v>0.17391304347826086</v>
      </c>
      <c r="P94" s="1">
        <f>P93/366</f>
        <v>8.7431693989071038E-2</v>
      </c>
    </row>
    <row r="95" spans="1:16" x14ac:dyDescent="0.25">
      <c r="A95" s="5" t="s">
        <v>787</v>
      </c>
      <c r="B95" s="4">
        <f>B93/91</f>
        <v>3.2967032967032968E-2</v>
      </c>
      <c r="C95" s="1">
        <f t="shared" ref="C95:P95" si="1">C93/91</f>
        <v>3.2967032967032968E-2</v>
      </c>
      <c r="D95" s="1">
        <f t="shared" si="1"/>
        <v>5.4945054945054944E-2</v>
      </c>
      <c r="E95" s="1">
        <f t="shared" si="1"/>
        <v>1.098901098901099E-2</v>
      </c>
      <c r="F95" s="1">
        <f t="shared" si="1"/>
        <v>4.3956043956043959E-2</v>
      </c>
      <c r="G95" s="1">
        <f t="shared" si="1"/>
        <v>1.098901098901099E-2</v>
      </c>
      <c r="H95" s="1">
        <f t="shared" si="1"/>
        <v>6.5934065934065936E-2</v>
      </c>
      <c r="I95" s="1">
        <f t="shared" si="1"/>
        <v>2.197802197802198E-2</v>
      </c>
      <c r="J95" s="1">
        <f t="shared" si="1"/>
        <v>5.4945054945054944E-2</v>
      </c>
      <c r="K95" s="1">
        <f t="shared" si="1"/>
        <v>6.5934065934065936E-2</v>
      </c>
      <c r="L95" s="1">
        <f t="shared" si="1"/>
        <v>9.8901098901098897E-2</v>
      </c>
      <c r="M95" s="1">
        <f t="shared" si="1"/>
        <v>5.4945054945054944E-2</v>
      </c>
      <c r="N95" s="1">
        <f t="shared" si="1"/>
        <v>0.50549450549450547</v>
      </c>
      <c r="O95" s="1">
        <f t="shared" si="1"/>
        <v>4.3956043956043959E-2</v>
      </c>
      <c r="P95" s="1">
        <f t="shared" si="1"/>
        <v>0.35164835164835168</v>
      </c>
    </row>
    <row r="96" spans="1:16" x14ac:dyDescent="0.25">
      <c r="A96" s="5" t="s">
        <v>790</v>
      </c>
      <c r="B96" s="4">
        <f>2*B94*B95/(B94+B95)</f>
        <v>5.128205128205128E-2</v>
      </c>
      <c r="C96" s="1">
        <f t="shared" ref="C96:P96" si="2">2*C94*C95/(C94+C95)</f>
        <v>5.128205128205128E-2</v>
      </c>
      <c r="D96" s="1">
        <f t="shared" si="2"/>
        <v>7.874015748031496E-2</v>
      </c>
      <c r="E96" s="1">
        <f t="shared" si="2"/>
        <v>1.5748031496062992E-2</v>
      </c>
      <c r="F96" s="1">
        <f t="shared" si="2"/>
        <v>7.0796460176991149E-2</v>
      </c>
      <c r="G96" s="1">
        <f t="shared" si="2"/>
        <v>1.7699115044247787E-2</v>
      </c>
      <c r="H96" s="1">
        <f t="shared" si="2"/>
        <v>9.160305343511449E-2</v>
      </c>
      <c r="I96" s="1">
        <f t="shared" si="2"/>
        <v>3.053435114503817E-2</v>
      </c>
      <c r="J96" s="1">
        <f t="shared" si="2"/>
        <v>9.0909090909090912E-2</v>
      </c>
      <c r="K96" s="1">
        <f t="shared" si="2"/>
        <v>8.8235294117647051E-2</v>
      </c>
      <c r="L96" s="1">
        <f t="shared" si="2"/>
        <v>0.10778443113772454</v>
      </c>
      <c r="M96" s="1">
        <f t="shared" si="2"/>
        <v>9.4339622641509427E-2</v>
      </c>
      <c r="N96" s="1">
        <f t="shared" si="2"/>
        <v>0.31833910034602075</v>
      </c>
      <c r="O96" s="1">
        <f t="shared" si="2"/>
        <v>7.0175438596491224E-2</v>
      </c>
      <c r="P96" s="1">
        <f t="shared" si="2"/>
        <v>0.14004376367614882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zoomScale="115" zoomScaleNormal="115" workbookViewId="0">
      <selection activeCell="D33" sqref="D33"/>
    </sheetView>
  </sheetViews>
  <sheetFormatPr defaultRowHeight="15" x14ac:dyDescent="0.25"/>
  <cols>
    <col min="2" max="2" width="32.25" bestFit="1" customWidth="1"/>
    <col min="9" max="9" width="11.625" bestFit="1" customWidth="1"/>
  </cols>
  <sheetData>
    <row r="1" spans="1:9" x14ac:dyDescent="0.25">
      <c r="A1" s="10"/>
      <c r="B1" s="10"/>
      <c r="C1" s="26" t="s">
        <v>819</v>
      </c>
      <c r="D1" s="26"/>
      <c r="E1" s="26"/>
      <c r="F1" s="26" t="s">
        <v>820</v>
      </c>
      <c r="G1" s="26"/>
      <c r="H1" s="26"/>
      <c r="I1" s="24" t="s">
        <v>794</v>
      </c>
    </row>
    <row r="2" spans="1:9" x14ac:dyDescent="0.25">
      <c r="A2" s="10"/>
      <c r="B2" s="10"/>
      <c r="C2" s="10" t="s">
        <v>789</v>
      </c>
      <c r="D2" s="10" t="s">
        <v>787</v>
      </c>
      <c r="E2" s="10" t="s">
        <v>790</v>
      </c>
      <c r="F2" s="10" t="s">
        <v>789</v>
      </c>
      <c r="G2" s="10" t="s">
        <v>787</v>
      </c>
      <c r="H2" s="10" t="s">
        <v>790</v>
      </c>
      <c r="I2" s="25"/>
    </row>
    <row r="3" spans="1:9" x14ac:dyDescent="0.25">
      <c r="A3" s="23" t="s">
        <v>791</v>
      </c>
      <c r="B3" s="13" t="s">
        <v>800</v>
      </c>
      <c r="C3" s="11">
        <v>0.19230769230769232</v>
      </c>
      <c r="D3" s="11">
        <v>3.6496350364963501E-2</v>
      </c>
      <c r="E3" s="11">
        <v>6.1349693251533742E-2</v>
      </c>
      <c r="F3" s="11">
        <v>0.11538461538461539</v>
      </c>
      <c r="G3" s="11">
        <v>3.2967032967032968E-2</v>
      </c>
      <c r="H3" s="11">
        <v>5.128205128205128E-2</v>
      </c>
      <c r="I3" s="13">
        <v>26</v>
      </c>
    </row>
    <row r="4" spans="1:9" x14ac:dyDescent="0.25">
      <c r="A4" s="23"/>
      <c r="B4" s="13" t="s">
        <v>801</v>
      </c>
      <c r="C4" s="11">
        <v>0.23076923076923078</v>
      </c>
      <c r="D4" s="11">
        <v>4.3795620437956206E-2</v>
      </c>
      <c r="E4" s="11">
        <v>7.3619631901840496E-2</v>
      </c>
      <c r="F4" s="11">
        <v>0.11538461538461539</v>
      </c>
      <c r="G4" s="11">
        <v>3.2967032967032968E-2</v>
      </c>
      <c r="H4" s="11">
        <v>5.128205128205128E-2</v>
      </c>
      <c r="I4" s="13">
        <v>26</v>
      </c>
    </row>
    <row r="5" spans="1:9" x14ac:dyDescent="0.25">
      <c r="A5" s="23"/>
      <c r="B5" s="13" t="s">
        <v>802</v>
      </c>
      <c r="C5" s="11">
        <v>0.19444444444444445</v>
      </c>
      <c r="D5" s="11">
        <v>5.1094890510948905E-2</v>
      </c>
      <c r="E5" s="11">
        <v>8.0924855491329481E-2</v>
      </c>
      <c r="F5" s="11">
        <v>0.1388888888888889</v>
      </c>
      <c r="G5" s="11">
        <v>5.4945054945054944E-2</v>
      </c>
      <c r="H5" s="11">
        <v>7.874015748031496E-2</v>
      </c>
      <c r="I5" s="13">
        <v>36</v>
      </c>
    </row>
    <row r="6" spans="1:9" x14ac:dyDescent="0.25">
      <c r="A6" s="23"/>
      <c r="B6" s="13" t="s">
        <v>803</v>
      </c>
      <c r="C6" s="11">
        <v>0.1388888888888889</v>
      </c>
      <c r="D6" s="11">
        <v>3.6496350364963501E-2</v>
      </c>
      <c r="E6" s="11">
        <v>5.7803468208092477E-2</v>
      </c>
      <c r="F6" s="11">
        <v>2.7777777777777776E-2</v>
      </c>
      <c r="G6" s="11">
        <v>1.098901098901099E-2</v>
      </c>
      <c r="H6" s="11">
        <v>1.5748031496062992E-2</v>
      </c>
      <c r="I6" s="13">
        <v>36</v>
      </c>
    </row>
    <row r="7" spans="1:9" x14ac:dyDescent="0.25">
      <c r="A7" s="23"/>
      <c r="B7" s="13" t="s">
        <v>804</v>
      </c>
      <c r="C7" s="11">
        <v>0.22727272727272727</v>
      </c>
      <c r="D7" s="11">
        <v>3.6496350364963501E-2</v>
      </c>
      <c r="E7" s="11">
        <v>6.2893081761006289E-2</v>
      </c>
      <c r="F7" s="11">
        <v>0.18181818181818182</v>
      </c>
      <c r="G7" s="11">
        <v>4.3956043956043959E-2</v>
      </c>
      <c r="H7" s="11">
        <v>7.0796460176991149E-2</v>
      </c>
      <c r="I7" s="13">
        <v>22</v>
      </c>
    </row>
    <row r="8" spans="1:9" x14ac:dyDescent="0.25">
      <c r="A8" s="23"/>
      <c r="B8" s="13" t="s">
        <v>805</v>
      </c>
      <c r="C8" s="11">
        <v>9.0909090909090912E-2</v>
      </c>
      <c r="D8" s="11">
        <v>1.4598540145985401E-2</v>
      </c>
      <c r="E8" s="11">
        <v>2.5157232704402517E-2</v>
      </c>
      <c r="F8" s="11">
        <v>4.5454545454545456E-2</v>
      </c>
      <c r="G8" s="11">
        <v>1.098901098901099E-2</v>
      </c>
      <c r="H8" s="11">
        <v>1.7699115044247787E-2</v>
      </c>
      <c r="I8" s="13">
        <v>22</v>
      </c>
    </row>
    <row r="9" spans="1:9" x14ac:dyDescent="0.25">
      <c r="A9" s="23"/>
      <c r="B9" s="13" t="s">
        <v>806</v>
      </c>
      <c r="C9" s="11">
        <v>0.17499999999999999</v>
      </c>
      <c r="D9" s="11">
        <v>5.1094890510948905E-2</v>
      </c>
      <c r="E9" s="11">
        <v>7.9096045197740106E-2</v>
      </c>
      <c r="F9" s="11">
        <v>0.15</v>
      </c>
      <c r="G9" s="11">
        <v>6.5934065934065936E-2</v>
      </c>
      <c r="H9" s="11">
        <v>9.160305343511449E-2</v>
      </c>
      <c r="I9" s="13">
        <v>40</v>
      </c>
    </row>
    <row r="10" spans="1:9" x14ac:dyDescent="0.25">
      <c r="A10" s="23"/>
      <c r="B10" s="13" t="s">
        <v>807</v>
      </c>
      <c r="C10" s="11">
        <v>0.125</v>
      </c>
      <c r="D10" s="11">
        <v>3.6496350364963501E-2</v>
      </c>
      <c r="E10" s="11">
        <v>5.6497175141242931E-2</v>
      </c>
      <c r="F10" s="11">
        <v>0.05</v>
      </c>
      <c r="G10" s="11">
        <v>2.197802197802198E-2</v>
      </c>
      <c r="H10" s="11">
        <v>3.053435114503817E-2</v>
      </c>
      <c r="I10" s="13">
        <v>40</v>
      </c>
    </row>
    <row r="11" spans="1:9" x14ac:dyDescent="0.25">
      <c r="A11" s="23" t="s">
        <v>792</v>
      </c>
      <c r="B11" s="13" t="s">
        <v>795</v>
      </c>
      <c r="C11" s="11">
        <v>0.31578947368421051</v>
      </c>
      <c r="D11" s="11">
        <v>4.3795620437956206E-2</v>
      </c>
      <c r="E11" s="11">
        <v>7.6923076923076927E-2</v>
      </c>
      <c r="F11" s="11">
        <v>0.26315789473684209</v>
      </c>
      <c r="G11" s="11">
        <v>5.4945054945054944E-2</v>
      </c>
      <c r="H11" s="11">
        <v>9.0909090909090912E-2</v>
      </c>
      <c r="I11" s="13">
        <v>19</v>
      </c>
    </row>
    <row r="12" spans="1:9" x14ac:dyDescent="0.25">
      <c r="A12" s="23"/>
      <c r="B12" s="13" t="s">
        <v>796</v>
      </c>
      <c r="C12" s="11">
        <v>0.15555555555555556</v>
      </c>
      <c r="D12" s="11">
        <v>5.1094890510948905E-2</v>
      </c>
      <c r="E12" s="11">
        <v>7.6923076923076913E-2</v>
      </c>
      <c r="F12" s="11">
        <v>0.13333333333333333</v>
      </c>
      <c r="G12" s="11">
        <v>6.5934065934065936E-2</v>
      </c>
      <c r="H12" s="11">
        <v>8.8235294117647051E-2</v>
      </c>
      <c r="I12" s="13">
        <v>45</v>
      </c>
    </row>
    <row r="13" spans="1:9" x14ac:dyDescent="0.25">
      <c r="A13" s="23"/>
      <c r="B13" s="13" t="s">
        <v>797</v>
      </c>
      <c r="C13" s="11">
        <v>0.15789473684210525</v>
      </c>
      <c r="D13" s="11">
        <v>8.7591240875912413E-2</v>
      </c>
      <c r="E13" s="11">
        <v>0.11267605633802817</v>
      </c>
      <c r="F13" s="11">
        <v>0.11842105263157894</v>
      </c>
      <c r="G13" s="11">
        <v>9.8901098901098897E-2</v>
      </c>
      <c r="H13" s="11">
        <v>0.10778443113772454</v>
      </c>
      <c r="I13" s="13">
        <v>76</v>
      </c>
    </row>
    <row r="14" spans="1:9" x14ac:dyDescent="0.25">
      <c r="A14" s="23"/>
      <c r="B14" s="13" t="s">
        <v>798</v>
      </c>
      <c r="C14" s="12">
        <v>0.46666666666666667</v>
      </c>
      <c r="D14" s="11">
        <v>5.1094890510948905E-2</v>
      </c>
      <c r="E14" s="11">
        <v>9.2105263157894732E-2</v>
      </c>
      <c r="F14" s="12">
        <v>0.33333333333333331</v>
      </c>
      <c r="G14" s="11">
        <v>5.4945054945054944E-2</v>
      </c>
      <c r="H14" s="11">
        <v>9.4339622641509427E-2</v>
      </c>
      <c r="I14" s="13">
        <v>15</v>
      </c>
    </row>
    <row r="15" spans="1:9" x14ac:dyDescent="0.25">
      <c r="A15" s="23"/>
      <c r="B15" s="13" t="s">
        <v>799</v>
      </c>
      <c r="C15" s="11">
        <v>0.32323232323232326</v>
      </c>
      <c r="D15" s="12">
        <v>0.46715328467153283</v>
      </c>
      <c r="E15" s="12">
        <v>0.38208955223880597</v>
      </c>
      <c r="F15" s="11">
        <v>0.23232323232323232</v>
      </c>
      <c r="G15" s="12">
        <v>0.50549450549450547</v>
      </c>
      <c r="H15" s="12">
        <v>0.31833910034602075</v>
      </c>
      <c r="I15" s="13">
        <v>198</v>
      </c>
    </row>
    <row r="16" spans="1:9" x14ac:dyDescent="0.25">
      <c r="A16" s="23" t="s">
        <v>793</v>
      </c>
      <c r="B16" s="13" t="s">
        <v>808</v>
      </c>
      <c r="C16" s="11">
        <v>0.30434782608695654</v>
      </c>
      <c r="D16" s="11">
        <v>5.1094890510948905E-2</v>
      </c>
      <c r="E16" s="11">
        <v>8.7499999999999994E-2</v>
      </c>
      <c r="F16" s="11">
        <v>0.17391304347826086</v>
      </c>
      <c r="G16" s="11">
        <v>4.3956043956043959E-2</v>
      </c>
      <c r="H16" s="11">
        <v>7.0175438596491224E-2</v>
      </c>
      <c r="I16" s="13">
        <v>23</v>
      </c>
    </row>
    <row r="17" spans="1:9" x14ac:dyDescent="0.25">
      <c r="A17" s="23"/>
      <c r="B17" s="14" t="s">
        <v>809</v>
      </c>
      <c r="C17" s="11">
        <v>0.13114754098360656</v>
      </c>
      <c r="D17" s="11">
        <v>0.35036496350364965</v>
      </c>
      <c r="E17" s="11">
        <v>0.19085487077534791</v>
      </c>
      <c r="F17" s="11">
        <v>8.7431693989071038E-2</v>
      </c>
      <c r="G17" s="11">
        <v>0.35164835164835168</v>
      </c>
      <c r="H17" s="11">
        <v>0.14004376367614882</v>
      </c>
      <c r="I17" s="13">
        <v>366</v>
      </c>
    </row>
  </sheetData>
  <mergeCells count="6">
    <mergeCell ref="A16:A17"/>
    <mergeCell ref="I1:I2"/>
    <mergeCell ref="C1:E1"/>
    <mergeCell ref="F1:H1"/>
    <mergeCell ref="A3:A10"/>
    <mergeCell ref="A11:A1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outliers per techniques &amp; human</vt:lpstr>
      <vt:lpstr>union of 15 methods with final1</vt:lpstr>
      <vt:lpstr>union of 15 methods with final2</vt:lpstr>
      <vt:lpstr>precision and recall from f1&amp;f2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dong</dc:creator>
  <cp:lastModifiedBy>hang dong</cp:lastModifiedBy>
  <dcterms:created xsi:type="dcterms:W3CDTF">2016-09-06T00:54:31Z</dcterms:created>
  <dcterms:modified xsi:type="dcterms:W3CDTF">2016-10-14T08:51:04Z</dcterms:modified>
</cp:coreProperties>
</file>